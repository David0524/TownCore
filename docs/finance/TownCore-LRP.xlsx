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ollout" sheetId="3" state="visible" r:id="rId5"/>
    <sheet name="Unit Economics" sheetId="4" state="visible" r:id="rId6"/>
    <sheet name="Revenue" sheetId="5" state="visible" r:id="rId7"/>
    <sheet name="Headcount" sheetId="6" state="visible" r:id="rId8"/>
    <sheet name="Costs" sheetId="7" state="visible" r:id="rId9"/>
    <sheet name="P&amp;L" sheetId="8" state="visible" r:id="rId10"/>
    <sheet name="Cash Flow" sheetId="9" state="visible" r:id="rId11"/>
    <sheet name="KP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<sst xmlns="http://schemas.openxmlformats.org/spreadsheetml/2006/main" count="501" uniqueCount="345">
  <si>
    <t xml:space="preserve">TownCore long-range plan, FY2027-FY2031</t>
  </si>
  <si>
    <t xml:space="preserve">AI-written local news sites with a daily newsletter and a local business directory.</t>
  </si>
  <si>
    <t xml:space="preserve">Scenario in use</t>
  </si>
  <si>
    <t xml:space="preserve">Summary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</si>
  <si>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</si>
  <si>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</si>
  <si>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</si>
  <si>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</si>
  <si>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</si>
  <si>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Live towns at year end</t>
  </si>
  <si>
    <t xml:space="preserve">Newsletter subscribers</t>
  </si>
  <si>
    <t xml:space="preserve">Revenue ($)</t>
  </si>
  <si>
    <t xml:space="preserve">Gross margin</t>
  </si>
  <si>
    <t xml:space="preserve">EBITDA ($)</t>
  </si>
  <si>
    <t xml:space="preserve">EBITDA margin</t>
  </si>
  <si>
    <t xml:space="preserve">Net income ($)</t>
  </si>
  <si>
    <t xml:space="preserve">Closing cash ($)</t>
  </si>
  <si>
    <t xml:space="preserve">Run-rate EBITDA at maturity ($)</t>
  </si>
  <si>
    <t xml:space="preserve">How to use</t>
  </si>
  <si>
    <t xml:space="preserve">1. Change inputs only on the Assumptions tab: blue text is an input, yellow fill a key assumption.</t>
  </si>
  <si>
    <t xml:space="preserve">2. Switch scenarios with Assumptions "Active scenario" (1 Downside, 2 Base, 3 Upside).</t>
  </si>
  <si>
    <t xml:space="preserve">3. Black text is a formula; green text links to another tab. Don't overwrite formulas.</t>
  </si>
  <si>
    <t xml:space="preserve">4. Unit Economics shows one average town by age (Age 1 = launch year). Revenue and Costs add up each year's launch cohorts at their age.</t>
  </si>
  <si>
    <t xml:space="preserve">5. Prices, story budgets, AI caps and directory counts come from the TownCore repo (CLAUDE.md and town config); everything marked "Estimate" in Assumptions column H is a planning assumption to validate.</t>
  </si>
  <si>
    <t xml:space="preserve">6. Not modeled: programmatic consent costs, a licensed sports-data feed (not yet bought), office space, debt, and acquisitions.</t>
  </si>
  <si>
    <t xml:space="preserve">Color legend</t>
  </si>
  <si>
    <t xml:space="preserve">Input</t>
  </si>
  <si>
    <t xml:space="preserve">Key assumption</t>
  </si>
  <si>
    <t xml:space="preserve">Formula</t>
  </si>
  <si>
    <t xml:space="preserve">Link to another tab</t>
  </si>
  <si>
    <t xml:space="preserve">TownCore LRP: assumptions</t>
  </si>
  <si>
    <t xml:space="preserve">Blue = input you can change. Yellow = key assumption. Every other tab is formulas over this one. Columns C-G are years (2027-2031) or a town's age in years (Age 1 = launch year), as each block's header says.</t>
  </si>
  <si>
    <t xml:space="preserve">Scenario</t>
  </si>
  <si>
    <t xml:space="preserve">Active scenario (1 = Downside, 2 = Base, 3 = Upside)</t>
  </si>
  <si>
    <t xml:space="preserve">Pick 1, 2 or 3. The multipliers below scale launches, audience, monetization and unit costs.</t>
  </si>
  <si>
    <t xml:space="preserve">Downside</t>
  </si>
  <si>
    <t xml:space="preserve">Base</t>
  </si>
  <si>
    <t xml:space="preserve">Upside</t>
  </si>
  <si>
    <t xml:space="preserve">Active</t>
  </si>
  <si>
    <t xml:space="preserve">Town launches multiplier</t>
  </si>
  <si>
    <t xml:space="preserve">Scales the launch schedule.</t>
  </si>
  <si>
    <t xml:space="preserve">Audience multiplier</t>
  </si>
  <si>
    <t xml:space="preserve">Scales subscriber penetration and pageviews.</t>
  </si>
  <si>
    <t xml:space="preserve">Monetization multiplier</t>
  </si>
  <si>
    <t xml:space="preserve">Scales fill, sell-through and conversion rates.</t>
  </si>
  <si>
    <t xml:space="preserve">Unit cost multiplier</t>
  </si>
  <si>
    <t xml:space="preserve">Scales per-town direct costs and launch costs.</t>
  </si>
  <si>
    <t xml:space="preserve">Town rollout (by fiscal year)</t>
  </si>
  <si>
    <t xml:space="preserve">Fiscal year</t>
  </si>
  <si>
    <t xml:space="preserve">New towns launched (base case)</t>
  </si>
  <si>
    <t xml:space="preserve">towns</t>
  </si>
  <si>
    <t xml:space="preserve">Management target; CLAUDE.md goal is thousands of towns, one command per launch. Scaled by the launch multiplier.</t>
  </si>
  <si>
    <t xml:space="preserve">Town size mix and size-driven inputs (CLAUDE.md §5 tiers)</t>
  </si>
  <si>
    <t xml:space="preserve">Small</t>
  </si>
  <si>
    <t xml:space="preserve">Mid</t>
  </si>
  <si>
    <t xml:space="preserve">Large</t>
  </si>
  <si>
    <t xml:space="preserve">Weighted</t>
  </si>
  <si>
    <t xml:space="preserve">Share of launches</t>
  </si>
  <si>
    <t xml:space="preserve">Ranked list (CLAUDE.md §10a) skews to smaller towns; population floor 5,000.</t>
  </si>
  <si>
    <t xml:space="preserve">Households per town</t>
  </si>
  <si>
    <t xml:space="preserve">Estimate from Census place sizes; Boca Raton (large) is roughly 45,000 households.</t>
  </si>
  <si>
    <t xml:space="preserve">Directory listings per town</t>
  </si>
  <si>
    <t xml:space="preserve">Boca live data 2026-10-16: 2,334 active listings (1,979 state licenses + 355 mapped). Small and mid scaled down; estimate.</t>
  </si>
  <si>
    <t xml:space="preserve">Stories per day (story budget)</t>
  </si>
  <si>
    <t xml:space="preserve">CLAUDE.md D-M3-7: daily story budget 3 / 6 / 10 by tier.</t>
  </si>
  <si>
    <t xml:space="preserve">Town sponsor banner price ($/month)</t>
  </si>
  <si>
    <t xml:space="preserve">Direct-sold home.top sponsor (§11b). Estimate; local banner rates vary widely.</t>
  </si>
  <si>
    <t xml:space="preserve">Audience (by town age; Age 1 = launch year)</t>
  </si>
  <si>
    <t xml:space="preserve">Town age</t>
  </si>
  <si>
    <t xml:space="preserve">Age 1</t>
  </si>
  <si>
    <t xml:space="preserve">Age 2</t>
  </si>
  <si>
    <t xml:space="preserve">Age 3</t>
  </si>
  <si>
    <t xml:space="preserve">Age 4</t>
  </si>
  <si>
    <t xml:space="preserve">Age 5</t>
  </si>
  <si>
    <t xml:space="preserve">Newsletter subscribers as % of households</t>
  </si>
  <si>
    <t xml:space="preserve">Estimate. Mature local newsletters report reaching roughly 5-15% of households; scaled by the audience multiplier.</t>
  </si>
  <si>
    <t xml:space="preserve">Monthly pageviews per household</t>
  </si>
  <si>
    <t xml:space="preserve">Estimate; driven by search, Facebook and the daily newsletter. Scaled by audience multiplier.</t>
  </si>
  <si>
    <t xml:space="preserve">Share of launched towns still live</t>
  </si>
  <si>
    <t xml:space="preserve">Rule 7: towns that fall below readiness are paused. Estimate.</t>
  </si>
  <si>
    <t xml:space="preserve">Monetization (by town age)</t>
  </si>
  <si>
    <t xml:space="preserve">Featured directory spots filled (% of 3 per category)</t>
  </si>
  <si>
    <t xml:space="preserve">Estimate. Spots #1/#2/#3 per category (§11). Scaled by monetization multiplier.</t>
  </si>
  <si>
    <t xml:space="preserve">Listings claimed (cumulative %)</t>
  </si>
  <si>
    <t xml:space="preserve">Estimate; claim flow by email confirmation (M6).</t>
  </si>
  <si>
    <t xml:space="preserve">Claimed listings buying Enhanced (%)</t>
  </si>
  <si>
    <t xml:space="preserve">Estimate. Scaled by monetization multiplier.</t>
  </si>
  <si>
    <t xml:space="preserve">Newsletter sponsorship sell-through</t>
  </si>
  <si>
    <t xml:space="preserve">Share of issues with a paid presenting sponsor (§11b newsletter.top). Estimate.</t>
  </si>
  <si>
    <t xml:space="preserve">Town sponsor banner sell-through</t>
  </si>
  <si>
    <t xml:space="preserve">Share of months the home.top banner is direct-sold. Estimate.</t>
  </si>
  <si>
    <t xml:space="preserve">Category sponsorships sold (% of categories)</t>
  </si>
  <si>
    <t xml:space="preserve">category.sponsor / exclusive (§11b); built but off at launch (D-M6-6), so Age 1 = 0.</t>
  </si>
  <si>
    <t xml:space="preserve">Programmatic ads switched on (1 = yes)</t>
  </si>
  <si>
    <t xml:space="preserve">Gated: only after a town passes Gate 2 with steady traffic (§11b). Assumed from Age 3.</t>
  </si>
  <si>
    <t xml:space="preserve">Prices and rates</t>
  </si>
  <si>
    <t xml:space="preserve">Directory categories per town</t>
  </si>
  <si>
    <t xml:space="preserve">count</t>
  </si>
  <si>
    <t xml:space="preserve">packages/config/src/directory.ts lists 28 categories.</t>
  </si>
  <si>
    <t xml:space="preserve">Featured spots #1 + #2 + #3 per category</t>
  </si>
  <si>
    <t xml:space="preserve">$/month</t>
  </si>
  <si>
    <t xml:space="preserve">Town config pricing.featured_usd [19, 12, 7] (owner, 2026-10-16).</t>
  </si>
  <si>
    <t xml:space="preserve">Free trial on a first featured spot</t>
  </si>
  <si>
    <t xml:space="preserve">days</t>
  </si>
  <si>
    <t xml:space="preserve">Town config free_trial_days: 30.</t>
  </si>
  <si>
    <t xml:space="preserve">Revenue lost to trials (share of featured revenue)</t>
  </si>
  <si>
    <t xml:space="preserve">Estimate: one free month per new spot over an average spot life of about a year.</t>
  </si>
  <si>
    <t xml:space="preserve">Enhanced listing price</t>
  </si>
  <si>
    <t xml:space="preserve">Town config pricing.enhanced_usd: 39.</t>
  </si>
  <si>
    <t xml:space="preserve">Category sponsorship price</t>
  </si>
  <si>
    <t xml:space="preserve">Estimate; price not yet set by the owner (M6 open item).</t>
  </si>
  <si>
    <t xml:space="preserve">Newsletter issues per year</t>
  </si>
  <si>
    <t xml:space="preserve">issues</t>
  </si>
  <si>
    <t xml:space="preserve">Daily, but thin days are skipped (D-M5-1); estimate.</t>
  </si>
  <si>
    <t xml:space="preserve">Newsletter sponsorship CPM</t>
  </si>
  <si>
    <t xml:space="preserve">$/1,000 subs</t>
  </si>
  <si>
    <t xml:space="preserve">Estimate for local newsletter sponsorships; verify with first sales.</t>
  </si>
  <si>
    <t xml:space="preserve">Programmatic revenue per 1,000 pageviews</t>
  </si>
  <si>
    <t xml:space="preserve">$ RPM</t>
  </si>
  <si>
    <t xml:space="preserve">Estimate for a local news site after Gate 2.</t>
  </si>
  <si>
    <t xml:space="preserve">Pageviews with programmatic ads</t>
  </si>
  <si>
    <t xml:space="preserve">Share of pageviews where the rail and inline slots are not direct-sold. Estimate.</t>
  </si>
  <si>
    <t xml:space="preserve">Direct costs per town</t>
  </si>
  <si>
    <t xml:space="preserve">AI cost per published story</t>
  </si>
  <si>
    <t xml:space="preserve">$/story</t>
  </si>
  <si>
    <t xml:space="preserve">Estimate for writer + separate fact-check calls; verify against current Anthropic pricing (CLAUDE.md §8). Scaled by unit cost multiplier.</t>
  </si>
  <si>
    <t xml:space="preserve">AI overhead per town per day</t>
  </si>
  <si>
    <t xml:space="preserve">$/day</t>
  </si>
  <si>
    <t xml:space="preserve">Classification, revisions, guides, entity extraction. Estimate.</t>
  </si>
  <si>
    <t xml:space="preserve">AI spend cap per town per day</t>
  </si>
  <si>
    <t xml:space="preserve">CLAUDE.md D-M3-7: $5 daily cap per town, enforced in code.</t>
  </si>
  <si>
    <t xml:space="preserve">Hosting, database and data per town</t>
  </si>
  <si>
    <t xml:space="preserve">Vercel, Railway Postgres share, storage, maps. Estimate.</t>
  </si>
  <si>
    <t xml:space="preserve">Email sending (Amazon SES)</t>
  </si>
  <si>
    <t xml:space="preserve">$/1,000</t>
  </si>
  <si>
    <t xml:space="preserve">AWS SES list price per 1,000 emails; verify at aws.amazon.com/ses/pricing.</t>
  </si>
  <si>
    <t xml:space="preserve">Card processing, % of directory revenue</t>
  </si>
  <si>
    <t xml:space="preserve">Stripe standard US card rate 2.9% + $0.30; verify at stripe.com/pricing.</t>
  </si>
  <si>
    <t xml:space="preserve">Card processing, fixed per charge</t>
  </si>
  <si>
    <t xml:space="preserve">$/charge</t>
  </si>
  <si>
    <t xml:space="preserve">Stripe standard US.</t>
  </si>
  <si>
    <t xml:space="preserve">Domain renewal per town</t>
  </si>
  <si>
    <t xml:space="preserve">$/year</t>
  </si>
  <si>
    <t xml:space="preserve">Estimate.</t>
  </si>
  <si>
    <t xml:space="preserve">AI cost per launch</t>
  </si>
  <si>
    <t xml:space="preserve">$/launch</t>
  </si>
  <si>
    <t xml:space="preserve">CLAUDE.md D-M7-11: $25 of AI per launch.</t>
  </si>
  <si>
    <t xml:space="preserve">Domain purchase per launch</t>
  </si>
  <si>
    <t xml:space="preserve">Launch audience seeding (paid social)</t>
  </si>
  <si>
    <t xml:space="preserve">Estimate: first-month Meta ads to seed newsletter signups.</t>
  </si>
  <si>
    <t xml:space="preserve">Paid cost per new subscriber</t>
  </si>
  <si>
    <t xml:space="preserve">$/subscriber</t>
  </si>
  <si>
    <t xml:space="preserve">Share of new subscribers acquired with paid ads</t>
  </si>
  <si>
    <t xml:space="preserve">Rest arrive from search, Facebook shares and word of mouth. Estimate.</t>
  </si>
  <si>
    <t xml:space="preserve">People (fully loaded = salary x (1 + benefits load))</t>
  </si>
  <si>
    <t xml:space="preserve">Benefits and payroll tax load</t>
  </si>
  <si>
    <t xml:space="preserve">Annual salary increase</t>
  </si>
  <si>
    <t xml:space="preserve">Sales commission on direct-sold revenue</t>
  </si>
  <si>
    <t xml:space="preserve">Paid on banners, newsletter and category sponsorships. Estimate.</t>
  </si>
  <si>
    <t xml:space="preserve">Towns per editorial reviewer</t>
  </si>
  <si>
    <t xml:space="preserve">Reviewers approve Tier 3 items and samples (§7). Estimate.</t>
  </si>
  <si>
    <t xml:space="preserve">Towns per local account executive</t>
  </si>
  <si>
    <t xml:space="preserve">Clustered towns share sales effort (§10a). Estimate.</t>
  </si>
  <si>
    <t xml:space="preserve">Towns per support and success rep</t>
  </si>
  <si>
    <t xml:space="preserve">Base salaries (2027 $)</t>
  </si>
  <si>
    <t xml:space="preserve">Leadership</t>
  </si>
  <si>
    <t xml:space="preserve">Engineering</t>
  </si>
  <si>
    <t xml:space="preserve">Editorial reviewer</t>
  </si>
  <si>
    <t xml:space="preserve">Account executive (base)</t>
  </si>
  <si>
    <t xml:space="preserve">Support and success</t>
  </si>
  <si>
    <t xml:space="preserve">Finance, legal and operations</t>
  </si>
  <si>
    <t xml:space="preserve">Fixed headcount (by fiscal year)</t>
  </si>
  <si>
    <t xml:space="preserve">people</t>
  </si>
  <si>
    <t xml:space="preserve">Plan.</t>
  </si>
  <si>
    <t xml:space="preserve">Engineering and product</t>
  </si>
  <si>
    <t xml:space="preserve">Other operating costs (by fiscal year)</t>
  </si>
  <si>
    <t xml:space="preserve">Corporate marketing</t>
  </si>
  <si>
    <t xml:space="preserve">$</t>
  </si>
  <si>
    <t xml:space="preserve">Advertiser marketing, events, brand. Plan.</t>
  </si>
  <si>
    <t xml:space="preserve">Legal and media liability insurance (fixed)</t>
  </si>
  <si>
    <t xml:space="preserve">Media liability matters for a publisher (§2). Estimate.</t>
  </si>
  <si>
    <t xml:space="preserve">Legal and insurance per live town</t>
  </si>
  <si>
    <t xml:space="preserve">$/town/year</t>
  </si>
  <si>
    <t xml:space="preserve">Software and tools per employee</t>
  </si>
  <si>
    <t xml:space="preserve">Equipment per new hire (capex)</t>
  </si>
  <si>
    <t xml:space="preserve">$/hire</t>
  </si>
  <si>
    <t xml:space="preserve">Equipment depreciation life</t>
  </si>
  <si>
    <t xml:space="preserve">years</t>
  </si>
  <si>
    <t xml:space="preserve">Straight line.</t>
  </si>
  <si>
    <t xml:space="preserve">Finance</t>
  </si>
  <si>
    <t xml:space="preserve">Income tax rate</t>
  </si>
  <si>
    <t xml:space="preserve">Federal 21% plus state, simplified; losses carried forward.</t>
  </si>
  <si>
    <t xml:space="preserve">Net working capital, % of revenue</t>
  </si>
  <si>
    <t xml:space="preserve">Stripe settles in days; mostly prepaid monthly plans. Estimate.</t>
  </si>
  <si>
    <t xml:space="preserve">Opening cash, start of FY2027</t>
  </si>
  <si>
    <t xml:space="preserve">Input: replace with actual.</t>
  </si>
  <si>
    <t xml:space="preserve">Equity raised</t>
  </si>
  <si>
    <t xml:space="preserve">Plan: seed in FY2027, Series A in FY2028, Series B in FY2030. Adjust to keep cash above zero.</t>
  </si>
  <si>
    <t xml:space="preserve">Town rollout</t>
  </si>
  <si>
    <t xml:space="preserve">Launches by year and live towns, from Assumptions.</t>
  </si>
  <si>
    <t xml:space="preserve">New towns launched</t>
  </si>
  <si>
    <t xml:space="preserve">Cumulative towns launched</t>
  </si>
  <si>
    <t xml:space="preserve">Launches x share still live at each age.</t>
  </si>
  <si>
    <t xml:space="preserve">Average live towns in year</t>
  </si>
  <si>
    <t xml:space="preserve">Used for people ratios.</t>
  </si>
  <si>
    <t xml:space="preserve">Unit economics: one average launched town, by age</t>
  </si>
  <si>
    <t xml:space="preserve">Age 1 is the launch year (half a year live on average). Values per launched town, already weighted by the share of towns still live. Network totals on Revenue and Costs multiply these by each year's launch cohorts.</t>
  </si>
  <si>
    <t xml:space="preserve">Time live and survival</t>
  </si>
  <si>
    <t xml:space="preserve">Share of the year live</t>
  </si>
  <si>
    <t xml:space="preserve">Launches spread across the year, so a town is live about half its launch year.</t>
  </si>
  <si>
    <t xml:space="preserve">Live town-years per launched town</t>
  </si>
  <si>
    <t xml:space="preserve">Audience</t>
  </si>
  <si>
    <t xml:space="preserve">Newsletter subscribers (year end)</t>
  </si>
  <si>
    <t xml:space="preserve">New subscribers in the year</t>
  </si>
  <si>
    <t xml:space="preserve">Pageviews in the year</t>
  </si>
  <si>
    <t xml:space="preserve">Directory</t>
  </si>
  <si>
    <t xml:space="preserve">Featured spots sold (average)</t>
  </si>
  <si>
    <t xml:space="preserve">Enhanced listings (average)</t>
  </si>
  <si>
    <t xml:space="preserve">Category sponsorships (average)</t>
  </si>
  <si>
    <t xml:space="preserve">Paying directory businesses (average)</t>
  </si>
  <si>
    <t xml:space="preserve">Counts each paid product once; a business can hold more than one.</t>
  </si>
  <si>
    <t xml:space="preserve">Revenue per launched town ($)</t>
  </si>
  <si>
    <t xml:space="preserve">Featured directory spots</t>
  </si>
  <si>
    <t xml:space="preserve">Spots x average price ($38 / 3) x 12, less free-trial months.</t>
  </si>
  <si>
    <t xml:space="preserve">Enhanced listings</t>
  </si>
  <si>
    <t xml:space="preserve">Category sponsorships</t>
  </si>
  <si>
    <t xml:space="preserve">Newsletter sponsorships</t>
  </si>
  <si>
    <t xml:space="preserve">Subscribers / 1,000 x CPM x issues x sell-through.</t>
  </si>
  <si>
    <t xml:space="preserve">Town sponsor banner</t>
  </si>
  <si>
    <t xml:space="preserve">Programmatic display</t>
  </si>
  <si>
    <t xml:space="preserve">Total revenue per launched town</t>
  </si>
  <si>
    <t xml:space="preserve">  of which directory (self-serve, Stripe)</t>
  </si>
  <si>
    <t xml:space="preserve">  of which direct-sold (commissionable)</t>
  </si>
  <si>
    <t xml:space="preserve">Direct costs per launched town ($)</t>
  </si>
  <si>
    <t xml:space="preserve">AI (writing and fact-checking)</t>
  </si>
  <si>
    <t xml:space="preserve">Stories a day x cost a story + overhead, capped at the daily cap.</t>
  </si>
  <si>
    <t xml:space="preserve">Hosting, database and data</t>
  </si>
  <si>
    <t xml:space="preserve">Email sending</t>
  </si>
  <si>
    <t xml:space="preserve">Card processing</t>
  </si>
  <si>
    <t xml:space="preserve">Domain renewal</t>
  </si>
  <si>
    <t xml:space="preserve">Bought at launch (launch costs); renewed from Age 2.</t>
  </si>
  <si>
    <t xml:space="preserve">Total direct costs</t>
  </si>
  <si>
    <t xml:space="preserve">Gross profit per launched town</t>
  </si>
  <si>
    <t xml:space="preserve">Town-level people and acquisition costs ($)</t>
  </si>
  <si>
    <t xml:space="preserve">Editorial review (share of a reviewer)</t>
  </si>
  <si>
    <t xml:space="preserve">Local sales (share of an AE) + commission</t>
  </si>
  <si>
    <t xml:space="preserve">Support and success (share)</t>
  </si>
  <si>
    <t xml:space="preserve">Paid subscriber acquisition</t>
  </si>
  <si>
    <t xml:space="preserve">Town contribution (before central costs)</t>
  </si>
  <si>
    <t xml:space="preserve">Contribution margin</t>
  </si>
  <si>
    <t xml:space="preserve">One-time launch cost (Age 1 only)</t>
  </si>
  <si>
    <t xml:space="preserve">Cumulative contribution after launch cost</t>
  </si>
  <si>
    <t xml:space="preserve">Payback: the first age where this turns positive.</t>
  </si>
  <si>
    <t xml:space="preserve">Note: rows are expected values per launched town (survival-weighted), so a surviving mature town earns slightly more than Age 5 shows.</t>
  </si>
  <si>
    <t xml:space="preserve">Revenue build ($)</t>
  </si>
  <si>
    <t xml:space="preserve">Network totals: each year's launch cohorts x the per-town values at their age.</t>
  </si>
  <si>
    <t xml:space="preserve">Town sponsor banners</t>
  </si>
  <si>
    <t xml:space="preserve">Total revenue</t>
  </si>
  <si>
    <t xml:space="preserve">Growth</t>
  </si>
  <si>
    <t xml:space="preserve">Revenue mix</t>
  </si>
  <si>
    <t xml:space="preserve">Featured spots</t>
  </si>
  <si>
    <t xml:space="preserve">Newsletter</t>
  </si>
  <si>
    <t xml:space="preserve">Banners</t>
  </si>
  <si>
    <t xml:space="preserve">Programmatic</t>
  </si>
  <si>
    <t xml:space="preserve">Headcount and people costs</t>
  </si>
  <si>
    <t xml:space="preserve">Town-driven roles scale with average live towns; fixed roles come from Assumptions.</t>
  </si>
  <si>
    <t xml:space="preserve">Heads (year end)</t>
  </si>
  <si>
    <t xml:space="preserve">Editorial reviewers</t>
  </si>
  <si>
    <t xml:space="preserve">Account executives</t>
  </si>
  <si>
    <t xml:space="preserve">Total heads</t>
  </si>
  <si>
    <t xml:space="preserve">New hires</t>
  </si>
  <si>
    <t xml:space="preserve">Fully loaded cost ($, average heads in year)</t>
  </si>
  <si>
    <t xml:space="preserve">Total people cost</t>
  </si>
  <si>
    <t xml:space="preserve">FY2027 uses 75% of year-end heads (team builds through the year); later years use the average of opening and closing heads.</t>
  </si>
  <si>
    <t xml:space="preserve">Costs ($)</t>
  </si>
  <si>
    <t xml:space="preserve">Direct costs from cohorts; operating costs from Headcount and Assumptions.</t>
  </si>
  <si>
    <t xml:space="preserve">Cost of revenue</t>
  </si>
  <si>
    <t xml:space="preserve">Domains (renewals and new)</t>
  </si>
  <si>
    <t xml:space="preserve">Total cost of revenue</t>
  </si>
  <si>
    <t xml:space="preserve">Operating expenses</t>
  </si>
  <si>
    <t xml:space="preserve">Editorial review (people)</t>
  </si>
  <si>
    <t xml:space="preserve">Sales (people)</t>
  </si>
  <si>
    <t xml:space="preserve">Sales commission</t>
  </si>
  <si>
    <t xml:space="preserve">Support and success (people)</t>
  </si>
  <si>
    <t xml:space="preserve">Launch marketing and launch AI</t>
  </si>
  <si>
    <t xml:space="preserve">Engineering and product (people)</t>
  </si>
  <si>
    <t xml:space="preserve">Leadership (people)</t>
  </si>
  <si>
    <t xml:space="preserve">Finance, legal and operations (people)</t>
  </si>
  <si>
    <t xml:space="preserve">Legal and media liability insurance</t>
  </si>
  <si>
    <t xml:space="preserve">Software and tools</t>
  </si>
  <si>
    <t xml:space="preserve">Total operating expenses</t>
  </si>
  <si>
    <t xml:space="preserve">Income statement ($)</t>
  </si>
  <si>
    <t xml:space="preserve">Fiscal years 2027-2031.</t>
  </si>
  <si>
    <t xml:space="preserve">Revenue</t>
  </si>
  <si>
    <t xml:space="preserve">Gross profit</t>
  </si>
  <si>
    <t xml:space="preserve">Editorial</t>
  </si>
  <si>
    <t xml:space="preserve">Sales and marketing</t>
  </si>
  <si>
    <t xml:space="preserve">General and administrative</t>
  </si>
  <si>
    <t xml:space="preserve">EBITDA</t>
  </si>
  <si>
    <t xml:space="preserve">Capital expenditure (memo)</t>
  </si>
  <si>
    <t xml:space="preserve">Depreciation</t>
  </si>
  <si>
    <t xml:space="preserve">Operating income (EBIT)</t>
  </si>
  <si>
    <t xml:space="preserve">Tax losses available, opening</t>
  </si>
  <si>
    <t xml:space="preserve">Taxable income after losses used</t>
  </si>
  <si>
    <t xml:space="preserve">Tax losses available, closing</t>
  </si>
  <si>
    <t xml:space="preserve">Income tax</t>
  </si>
  <si>
    <t xml:space="preserve">Net income</t>
  </si>
  <si>
    <t xml:space="preserve">Cash flow and funding ($)</t>
  </si>
  <si>
    <t xml:space="preserve">Simplified: EBITDA less tax, capex and working capital, plus equity raised.</t>
  </si>
  <si>
    <t xml:space="preserve">Income tax paid</t>
  </si>
  <si>
    <t xml:space="preserve">Capital expenditure</t>
  </si>
  <si>
    <t xml:space="preserve">Increase in net working capital</t>
  </si>
  <si>
    <t xml:space="preserve">Free cash flow</t>
  </si>
  <si>
    <t xml:space="preserve">Net change in cash</t>
  </si>
  <si>
    <t xml:space="preserve">Opening cash</t>
  </si>
  <si>
    <t xml:space="preserve">Closing cash</t>
  </si>
  <si>
    <t xml:space="preserve">Cash below zero? (1 = yes: raise more or cut)</t>
  </si>
  <si>
    <t xml:space="preserve">Lowest closing cash, FY2027-FY2031</t>
  </si>
  <si>
    <t xml:space="preserve">Cumulative free cash flow before turning positive (funding need)</t>
  </si>
  <si>
    <t xml:space="preserve">Deepest point of cumulative free cash flow: the equity the plan needs, before any buffer.</t>
  </si>
  <si>
    <t xml:space="preserve">Key metrics</t>
  </si>
  <si>
    <t xml:space="preserve">Operating and financial KPIs, all formulas.</t>
  </si>
  <si>
    <t xml:space="preserve">Footprint and audience</t>
  </si>
  <si>
    <t xml:space="preserve">Towns launched in year</t>
  </si>
  <si>
    <t xml:space="preserve">Pageviews in year</t>
  </si>
  <si>
    <t xml:space="preserve">Customers</t>
  </si>
  <si>
    <t xml:space="preserve">Paid directory products (average in year)</t>
  </si>
  <si>
    <t xml:space="preserve">Directory revenue per paid product per month ($)</t>
  </si>
  <si>
    <t xml:space="preserve">Financial</t>
  </si>
  <si>
    <t xml:space="preserve">Revenue per average live town ($)</t>
  </si>
  <si>
    <t xml:space="preserve">AI cost as % of revenue</t>
  </si>
  <si>
    <t xml:space="preserve">CLAUDE.md §8 asks for an alert when AI cost per article jumps; this tracks the overall share.</t>
  </si>
  <si>
    <t xml:space="preserve">Central costs (engineering, leadership, G&amp;A, brand, fixed legal, tools) ($)</t>
  </si>
  <si>
    <t xml:space="preserve">Run-rate EBITDA if every live town were mature ($)</t>
  </si>
  <si>
    <t xml:space="preserve">Live towns x Age 5 contribution per surviving town, less central costs: the profit the network already built would earn once its young towns mature, with no new launches.</t>
  </si>
  <si>
    <t xml:space="preserve">Mature towns needed to cover central costs</t>
  </si>
  <si>
    <t xml:space="preserve">Single-town economics (from Unit Economics)</t>
  </si>
  <si>
    <t xml:space="preserve">Mature town revenue (Age 5, $/year)</t>
  </si>
  <si>
    <t xml:space="preserve">Mature town contribution (Age 5, $/year)</t>
  </si>
  <si>
    <t xml:space="preserve">Mature contribution margin</t>
  </si>
  <si>
    <t xml:space="preserve">One-time launch cost per town ($)</t>
  </si>
  <si>
    <t xml:space="preserve">Town payback (age in years when cumulative contribution turns positive)</t>
  </si>
  <si>
    <t xml:space="preserve">1 = paid back within the launch year.</t>
  </si>
  <si>
    <t xml:space="preserve">First fiscal year with positive EBITDA</t>
  </si>
  <si>
    <t xml:space="preserve">Equity needed (deepest cumulative free cash flow)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</si>
</sst>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0\x"/>
    <numFmt numFmtId="169" formatCode="#,##0.0;\(#,##0.0\);\-"/>
    <numFmt numFmtId="170" formatCode="\$#,##0.00;&quot;($&quot;#,##0.00\);\-"/>
    <numFmt numFmtId="171" formatCode="0.0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3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8EC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C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6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 t="s">
        <v>2</v>
      </c>
      <c r="B4" s="2"/>
      <c r="C4" s="4" t="str">
        <f aca="false">INDEX({"Downside","Base","Upside"},1,Assumptions!$C$5)</f>
        <v>Base</v>
      </c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5" t="s">
        <v>3</v>
      </c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6"/>
    </row>
    <row r="7" customFormat="false" ht="15" hidden="false" customHeight="false" outlineLevel="0" collapsed="false">
      <c r="A7" s="2" t="s">
        <v>9</v>
      </c>
      <c r="B7" s="2"/>
      <c r="C7" s="8" t="n">
        <f aca="false">Rollout!C7</f>
        <v>20</v>
      </c>
      <c r="D7" s="8" t="n">
        <f aca="false">Rollout!D7</f>
        <v>99.4</v>
      </c>
      <c r="E7" s="8" t="n">
        <f aca="false">Rollout!E7</f>
        <v>296.6</v>
      </c>
      <c r="F7" s="8" t="n">
        <f aca="false">Rollout!F7</f>
        <v>688.8</v>
      </c>
      <c r="G7" s="8" t="n">
        <f aca="false">Rollout!G7</f>
        <v>1371.8</v>
      </c>
      <c r="H7" s="2"/>
    </row>
    <row r="8" customFormat="false" ht="15" hidden="false" customHeight="false" outlineLevel="0" collapsed="false">
      <c r="A8" s="2" t="s">
        <v>10</v>
      </c>
      <c r="B8" s="2"/>
      <c r="C8" s="8" t="n">
        <f aca="false">KPIs!C8</f>
        <v>4200</v>
      </c>
      <c r="D8" s="8" t="n">
        <f aca="false">KPIs!D8</f>
        <v>27664</v>
      </c>
      <c r="E8" s="8" t="n">
        <f aca="false">KPIs!E8</f>
        <v>101416</v>
      </c>
      <c r="F8" s="8" t="n">
        <f aca="false">KPIs!F8</f>
        <v>276220</v>
      </c>
      <c r="G8" s="8" t="n">
        <f aca="false">KPIs!G8</f>
        <v>624974</v>
      </c>
      <c r="H8" s="2"/>
    </row>
    <row r="9" customFormat="false" ht="15" hidden="false" customHeight="false" outlineLevel="0" collapsed="false">
      <c r="A9" s="2" t="s">
        <v>11</v>
      </c>
      <c r="B9" s="2"/>
      <c r="C9" s="9" t="n">
        <f aca="false">'P&amp;L'!C5</f>
        <v>18028.56</v>
      </c>
      <c r="D9" s="9" t="n">
        <f aca="false">'P&amp;L'!D5</f>
        <v>217104.8736</v>
      </c>
      <c r="E9" s="9" t="n">
        <f aca="false">'P&amp;L'!E5</f>
        <v>1084578.1344</v>
      </c>
      <c r="F9" s="9" t="n">
        <f aca="false">'P&amp;L'!F5</f>
        <v>3547797.98496</v>
      </c>
      <c r="G9" s="9" t="n">
        <f aca="false">'P&amp;L'!G5</f>
        <v>9061606.73472</v>
      </c>
      <c r="H9" s="2"/>
    </row>
    <row r="10" customFormat="false" ht="15" hidden="false" customHeight="false" outlineLevel="0" collapsed="false">
      <c r="A10" s="2" t="s">
        <v>12</v>
      </c>
      <c r="B10" s="2"/>
      <c r="C10" s="10" t="n">
        <f aca="false">'P&amp;L'!C8</f>
        <v>0.558152495817747</v>
      </c>
      <c r="D10" s="10" t="n">
        <f aca="false">'P&amp;L'!D8</f>
        <v>0.77079367597209</v>
      </c>
      <c r="E10" s="10" t="n">
        <f aca="false">'P&amp;L'!E8</f>
        <v>0.841645038989641</v>
      </c>
      <c r="F10" s="10" t="n">
        <f aca="false">'P&amp;L'!F8</f>
        <v>0.875179278962009</v>
      </c>
      <c r="G10" s="10" t="n">
        <f aca="false">'P&amp;L'!G8</f>
        <v>0.89447292180238</v>
      </c>
      <c r="H10" s="2"/>
    </row>
    <row r="11" customFormat="false" ht="15" hidden="false" customHeight="false" outlineLevel="0" collapsed="false">
      <c r="A11" s="2" t="s">
        <v>13</v>
      </c>
      <c r="B11" s="2"/>
      <c r="C11" s="9" t="n">
        <f aca="false">'P&amp;L'!C16</f>
        <v>-1221781.31424</v>
      </c>
      <c r="D11" s="9" t="n">
        <f aca="false">'P&amp;L'!D16</f>
        <v>-2165908.7096064</v>
      </c>
      <c r="E11" s="9" t="n">
        <f aca="false">'P&amp;L'!E16</f>
        <v>-3533796.4665856</v>
      </c>
      <c r="F11" s="9" t="n">
        <f aca="false">'P&amp;L'!F16</f>
        <v>-5134437.42521984</v>
      </c>
      <c r="G11" s="9" t="n">
        <f aca="false">'P&amp;L'!G16</f>
        <v>-6049621.93095213</v>
      </c>
      <c r="H11" s="2"/>
    </row>
    <row r="12" customFormat="false" ht="15" hidden="false" customHeight="false" outlineLevel="0" collapsed="false">
      <c r="A12" s="2" t="s">
        <v>14</v>
      </c>
      <c r="B12" s="2"/>
      <c r="C12" s="10" t="n">
        <f aca="false">'P&amp;L'!C17</f>
        <v>-67.7692125294533</v>
      </c>
      <c r="D12" s="10" t="n">
        <f aca="false">'P&amp;L'!D17</f>
        <v>-9.97632468443306</v>
      </c>
      <c r="E12" s="10" t="n">
        <f aca="false">'P&amp;L'!E17</f>
        <v>-3.25822211835437</v>
      </c>
      <c r="F12" s="10" t="n">
        <f aca="false">'P&amp;L'!F17</f>
        <v>-1.44721809048486</v>
      </c>
      <c r="G12" s="10" t="n">
        <f aca="false">'P&amp;L'!G17</f>
        <v>-0.667610293412172</v>
      </c>
      <c r="H12" s="2"/>
    </row>
    <row r="13" customFormat="false" ht="15" hidden="false" customHeight="false" outlineLevel="0" collapsed="false">
      <c r="A13" s="2" t="s">
        <v>15</v>
      </c>
      <c r="B13" s="2"/>
      <c r="C13" s="9" t="n">
        <f aca="false">'P&amp;L'!C25</f>
        <v>-1229281.31424</v>
      </c>
      <c r="D13" s="9" t="n">
        <f aca="false">'P&amp;L'!D25</f>
        <v>-2179242.04293973</v>
      </c>
      <c r="E13" s="9" t="n">
        <f aca="false">'P&amp;L'!E25</f>
        <v>-3562129.79991893</v>
      </c>
      <c r="F13" s="9" t="n">
        <f aca="false">'P&amp;L'!F25</f>
        <v>-5181104.09188651</v>
      </c>
      <c r="G13" s="9" t="n">
        <f aca="false">'P&amp;L'!G25</f>
        <v>-6132955.26428547</v>
      </c>
      <c r="H13" s="2"/>
    </row>
    <row r="14" customFormat="false" ht="15" hidden="false" customHeight="false" outlineLevel="0" collapsed="false">
      <c r="A14" s="2" t="s">
        <v>16</v>
      </c>
      <c r="B14" s="2"/>
      <c r="C14" s="9" t="n">
        <f aca="false">'Cash Flow'!C13</f>
        <v>1005177.82896</v>
      </c>
      <c r="D14" s="9" t="n">
        <f aca="false">'Cash Flow'!D13</f>
        <v>6815796.8299456</v>
      </c>
      <c r="E14" s="9" t="n">
        <f aca="false">'Cash Flow'!E13</f>
        <v>3210976.165536</v>
      </c>
      <c r="F14" s="9" t="n">
        <f aca="false">'Cash Flow'!F13</f>
        <v>12925142.1447994</v>
      </c>
      <c r="G14" s="9" t="n">
        <f aca="false">'Cash Flow'!G13</f>
        <v>6582605.95135443</v>
      </c>
      <c r="H14" s="2"/>
    </row>
    <row r="15" customFormat="false" ht="15" hidden="false" customHeight="false" outlineLevel="0" collapsed="false">
      <c r="A15" s="2" t="s">
        <v>17</v>
      </c>
      <c r="B15" s="2"/>
      <c r="C15" s="9" t="n">
        <f aca="false">KPIs!C22</f>
        <v>-613580.34690271</v>
      </c>
      <c r="D15" s="9" t="n">
        <f aca="false">KPIs!D22</f>
        <v>294083.175893533</v>
      </c>
      <c r="E15" s="9" t="n">
        <f aca="false">KPIs!E22</f>
        <v>3244622.20543282</v>
      </c>
      <c r="F15" s="9" t="n">
        <f aca="false">KPIs!F22</f>
        <v>9695346.41517068</v>
      </c>
      <c r="G15" s="9" t="n">
        <f aca="false">KPIs!G22</f>
        <v>21904049.6855681</v>
      </c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4" t="s">
        <v>18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11" t="s">
        <v>19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11" t="s">
        <v>20</v>
      </c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11" t="s">
        <v>21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11" t="s">
        <v>22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11" t="s">
        <v>23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11" t="s">
        <v>24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4" t="s">
        <v>25</v>
      </c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12" t="s">
        <v>26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3" t="s">
        <v>27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11" t="s">
        <v>28</v>
      </c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14" t="s">
        <v>29</v>
      </c>
      <c r="B29" s="2"/>
      <c r="C29" s="2"/>
      <c r="D29" s="2"/>
      <c r="E29" s="2"/>
      <c r="F29" s="2"/>
      <c r="G29" s="2"/>
      <c r="H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30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5" t="s">
        <v>32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4" t="s">
        <v>33</v>
      </c>
      <c r="B5" s="2"/>
      <c r="C5" s="13" t="n">
        <v>2</v>
      </c>
      <c r="D5" s="2"/>
      <c r="E5" s="2"/>
      <c r="F5" s="2"/>
      <c r="G5" s="2"/>
      <c r="H5" s="17" t="s">
        <v>34</v>
      </c>
    </row>
    <row r="6" customFormat="false" ht="15" hidden="false" customHeight="false" outlineLevel="0" collapsed="false">
      <c r="A6" s="2"/>
      <c r="B6" s="2"/>
      <c r="C6" s="18" t="s">
        <v>35</v>
      </c>
      <c r="D6" s="18" t="s">
        <v>36</v>
      </c>
      <c r="E6" s="18" t="s">
        <v>37</v>
      </c>
      <c r="F6" s="18" t="s">
        <v>38</v>
      </c>
      <c r="G6" s="2"/>
      <c r="H6" s="2"/>
    </row>
    <row r="7" customFormat="false" ht="15" hidden="false" customHeight="false" outlineLevel="0" collapsed="false">
      <c r="A7" s="11" t="s">
        <v>39</v>
      </c>
      <c r="B7" s="2"/>
      <c r="C7" s="19" t="n">
        <v>0.6</v>
      </c>
      <c r="D7" s="19" t="n">
        <v>1</v>
      </c>
      <c r="E7" s="19" t="n">
        <v>1.3</v>
      </c>
      <c r="F7" s="20" t="n">
        <f aca="false">INDEX(C7:E7,1,Assumptions!$C$5)</f>
        <v>1</v>
      </c>
      <c r="G7" s="2"/>
      <c r="H7" s="17" t="s">
        <v>40</v>
      </c>
    </row>
    <row r="8" customFormat="false" ht="15" hidden="false" customHeight="false" outlineLevel="0" collapsed="false">
      <c r="A8" s="11" t="s">
        <v>41</v>
      </c>
      <c r="B8" s="2"/>
      <c r="C8" s="19" t="n">
        <v>0.7</v>
      </c>
      <c r="D8" s="19" t="n">
        <v>1</v>
      </c>
      <c r="E8" s="19" t="n">
        <v>1.25</v>
      </c>
      <c r="F8" s="20" t="n">
        <f aca="false">INDEX(C8:E8,1,Assumptions!$C$5)</f>
        <v>1</v>
      </c>
      <c r="G8" s="2"/>
      <c r="H8" s="17" t="s">
        <v>42</v>
      </c>
    </row>
    <row r="9" customFormat="false" ht="15" hidden="false" customHeight="false" outlineLevel="0" collapsed="false">
      <c r="A9" s="11" t="s">
        <v>43</v>
      </c>
      <c r="B9" s="2"/>
      <c r="C9" s="19" t="n">
        <v>0.7</v>
      </c>
      <c r="D9" s="19" t="n">
        <v>1</v>
      </c>
      <c r="E9" s="19" t="n">
        <v>1.2</v>
      </c>
      <c r="F9" s="20" t="n">
        <f aca="false">INDEX(C9:E9,1,Assumptions!$C$5)</f>
        <v>1</v>
      </c>
      <c r="G9" s="2"/>
      <c r="H9" s="17" t="s">
        <v>44</v>
      </c>
    </row>
    <row r="10" customFormat="false" ht="15" hidden="false" customHeight="false" outlineLevel="0" collapsed="false">
      <c r="A10" s="11" t="s">
        <v>45</v>
      </c>
      <c r="B10" s="2"/>
      <c r="C10" s="19" t="n">
        <v>1.2</v>
      </c>
      <c r="D10" s="19" t="n">
        <v>1</v>
      </c>
      <c r="E10" s="19" t="n">
        <v>0.9</v>
      </c>
      <c r="F10" s="20" t="n">
        <f aca="false">INDEX(C10:E10,1,Assumptions!$C$5)</f>
        <v>1</v>
      </c>
      <c r="G10" s="2"/>
      <c r="H10" s="17" t="s">
        <v>46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15" t="s">
        <v>47</v>
      </c>
      <c r="B12" s="16"/>
      <c r="C12" s="16"/>
      <c r="D12" s="16"/>
      <c r="E12" s="16"/>
      <c r="F12" s="16"/>
      <c r="G12" s="16"/>
      <c r="H12" s="16"/>
    </row>
    <row r="13" customFormat="false" ht="15" hidden="false" customHeight="false" outlineLevel="0" collapsed="false">
      <c r="A13" s="5" t="s">
        <v>48</v>
      </c>
      <c r="B13" s="6"/>
      <c r="C13" s="7" t="s">
        <v>4</v>
      </c>
      <c r="D13" s="7" t="s">
        <v>5</v>
      </c>
      <c r="E13" s="7" t="s">
        <v>6</v>
      </c>
      <c r="F13" s="7" t="s">
        <v>7</v>
      </c>
      <c r="G13" s="7" t="s">
        <v>8</v>
      </c>
      <c r="H13" s="6"/>
    </row>
    <row r="14" customFormat="false" ht="15" hidden="false" customHeight="false" outlineLevel="0" collapsed="false">
      <c r="A14" s="11" t="s">
        <v>49</v>
      </c>
      <c r="B14" s="17" t="s">
        <v>50</v>
      </c>
      <c r="C14" s="21" t="n">
        <v>20</v>
      </c>
      <c r="D14" s="21" t="n">
        <v>80</v>
      </c>
      <c r="E14" s="21" t="n">
        <v>200</v>
      </c>
      <c r="F14" s="21" t="n">
        <v>400</v>
      </c>
      <c r="G14" s="21" t="n">
        <v>700</v>
      </c>
      <c r="H14" s="17" t="s">
        <v>51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5" t="s">
        <v>52</v>
      </c>
      <c r="B16" s="16"/>
      <c r="C16" s="16"/>
      <c r="D16" s="16"/>
      <c r="E16" s="16"/>
      <c r="F16" s="16"/>
      <c r="G16" s="16"/>
      <c r="H16" s="16"/>
    </row>
    <row r="17" customFormat="false" ht="15" hidden="false" customHeight="false" outlineLevel="0" collapsed="false">
      <c r="A17" s="2"/>
      <c r="B17" s="2"/>
      <c r="C17" s="18" t="s">
        <v>53</v>
      </c>
      <c r="D17" s="18" t="s">
        <v>54</v>
      </c>
      <c r="E17" s="18" t="s">
        <v>55</v>
      </c>
      <c r="F17" s="18" t="s">
        <v>56</v>
      </c>
      <c r="G17" s="2"/>
      <c r="H17" s="2"/>
    </row>
    <row r="18" customFormat="false" ht="15" hidden="false" customHeight="false" outlineLevel="0" collapsed="false">
      <c r="A18" s="11" t="s">
        <v>57</v>
      </c>
      <c r="B18" s="2"/>
      <c r="C18" s="22" t="n">
        <v>0.5</v>
      </c>
      <c r="D18" s="22" t="n">
        <v>0.35</v>
      </c>
      <c r="E18" s="22" t="n">
        <v>0.15</v>
      </c>
      <c r="F18" s="23" t="n">
        <f aca="false">SUM(C18:E18)</f>
        <v>1</v>
      </c>
      <c r="G18" s="2"/>
      <c r="H18" s="17" t="s">
        <v>58</v>
      </c>
    </row>
    <row r="19" customFormat="false" ht="15" hidden="false" customHeight="false" outlineLevel="0" collapsed="false">
      <c r="A19" s="11" t="s">
        <v>59</v>
      </c>
      <c r="B19" s="2"/>
      <c r="C19" s="24" t="n">
        <v>4000</v>
      </c>
      <c r="D19" s="24" t="n">
        <v>15000</v>
      </c>
      <c r="E19" s="24" t="n">
        <v>45000</v>
      </c>
      <c r="F19" s="25" t="n">
        <f aca="false">SUMPRODUCT(C19:E19,$C$18:$E$18)</f>
        <v>14000</v>
      </c>
      <c r="G19" s="2"/>
      <c r="H19" s="17" t="s">
        <v>60</v>
      </c>
    </row>
    <row r="20" customFormat="false" ht="15" hidden="false" customHeight="false" outlineLevel="0" collapsed="false">
      <c r="A20" s="11" t="s">
        <v>61</v>
      </c>
      <c r="B20" s="2"/>
      <c r="C20" s="24" t="n">
        <v>300</v>
      </c>
      <c r="D20" s="24" t="n">
        <v>900</v>
      </c>
      <c r="E20" s="24" t="n">
        <v>2300</v>
      </c>
      <c r="F20" s="25" t="n">
        <f aca="false">SUMPRODUCT(C20:E20,$C$18:$E$18)</f>
        <v>810</v>
      </c>
      <c r="G20" s="2"/>
      <c r="H20" s="17" t="s">
        <v>62</v>
      </c>
    </row>
    <row r="21" customFormat="false" ht="15" hidden="false" customHeight="false" outlineLevel="0" collapsed="false">
      <c r="A21" s="11" t="s">
        <v>63</v>
      </c>
      <c r="B21" s="2"/>
      <c r="C21" s="24" t="n">
        <v>3</v>
      </c>
      <c r="D21" s="24" t="n">
        <v>6</v>
      </c>
      <c r="E21" s="24" t="n">
        <v>10</v>
      </c>
      <c r="F21" s="25" t="n">
        <f aca="false">SUMPRODUCT(C21:E21,$C$18:$E$18)</f>
        <v>5.1</v>
      </c>
      <c r="G21" s="2"/>
      <c r="H21" s="17" t="s">
        <v>64</v>
      </c>
    </row>
    <row r="22" customFormat="false" ht="15" hidden="false" customHeight="false" outlineLevel="0" collapsed="false">
      <c r="A22" s="11" t="s">
        <v>65</v>
      </c>
      <c r="B22" s="2"/>
      <c r="C22" s="26" t="n">
        <v>150</v>
      </c>
      <c r="D22" s="26" t="n">
        <v>400</v>
      </c>
      <c r="E22" s="26" t="n">
        <v>900</v>
      </c>
      <c r="F22" s="27" t="n">
        <f aca="false">SUMPRODUCT(C22:E22,$C$18:$E$18)</f>
        <v>350</v>
      </c>
      <c r="G22" s="2"/>
      <c r="H22" s="17" t="s">
        <v>66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15" t="s">
        <v>67</v>
      </c>
      <c r="B24" s="16"/>
      <c r="C24" s="16"/>
      <c r="D24" s="16"/>
      <c r="E24" s="16"/>
      <c r="F24" s="16"/>
      <c r="G24" s="16"/>
      <c r="H24" s="16"/>
    </row>
    <row r="25" customFormat="false" ht="15" hidden="false" customHeight="false" outlineLevel="0" collapsed="false">
      <c r="A25" s="5" t="s">
        <v>68</v>
      </c>
      <c r="B25" s="6"/>
      <c r="C25" s="7" t="s">
        <v>69</v>
      </c>
      <c r="D25" s="7" t="s">
        <v>70</v>
      </c>
      <c r="E25" s="7" t="s">
        <v>71</v>
      </c>
      <c r="F25" s="7" t="s">
        <v>72</v>
      </c>
      <c r="G25" s="7" t="s">
        <v>73</v>
      </c>
      <c r="H25" s="6"/>
    </row>
    <row r="26" customFormat="false" ht="15" hidden="false" customHeight="false" outlineLevel="0" collapsed="false">
      <c r="A26" s="11" t="s">
        <v>74</v>
      </c>
      <c r="B26" s="17"/>
      <c r="C26" s="22" t="n">
        <v>0.015</v>
      </c>
      <c r="D26" s="22" t="n">
        <v>0.04</v>
      </c>
      <c r="E26" s="22" t="n">
        <v>0.06</v>
      </c>
      <c r="F26" s="22" t="n">
        <v>0.075</v>
      </c>
      <c r="G26" s="22" t="n">
        <v>0.085</v>
      </c>
      <c r="H26" s="17" t="s">
        <v>75</v>
      </c>
    </row>
    <row r="27" customFormat="false" ht="15" hidden="false" customHeight="false" outlineLevel="0" collapsed="false">
      <c r="A27" s="11" t="s">
        <v>76</v>
      </c>
      <c r="B27" s="17"/>
      <c r="C27" s="28" t="n">
        <v>1</v>
      </c>
      <c r="D27" s="28" t="n">
        <v>2</v>
      </c>
      <c r="E27" s="28" t="n">
        <v>3</v>
      </c>
      <c r="F27" s="28" t="n">
        <v>3.5</v>
      </c>
      <c r="G27" s="28" t="n">
        <v>4</v>
      </c>
      <c r="H27" s="17" t="s">
        <v>77</v>
      </c>
    </row>
    <row r="28" customFormat="false" ht="15" hidden="false" customHeight="false" outlineLevel="0" collapsed="false">
      <c r="A28" s="11" t="s">
        <v>78</v>
      </c>
      <c r="B28" s="17"/>
      <c r="C28" s="29" t="n">
        <v>1</v>
      </c>
      <c r="D28" s="29" t="n">
        <v>0.97</v>
      </c>
      <c r="E28" s="29" t="n">
        <v>0.95</v>
      </c>
      <c r="F28" s="29" t="n">
        <v>0.94</v>
      </c>
      <c r="G28" s="29" t="n">
        <v>0.93</v>
      </c>
      <c r="H28" s="17" t="s">
        <v>79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15" t="s">
        <v>80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5" t="s">
        <v>68</v>
      </c>
      <c r="B31" s="6"/>
      <c r="C31" s="7" t="s">
        <v>69</v>
      </c>
      <c r="D31" s="7" t="s">
        <v>70</v>
      </c>
      <c r="E31" s="7" t="s">
        <v>71</v>
      </c>
      <c r="F31" s="7" t="s">
        <v>72</v>
      </c>
      <c r="G31" s="7" t="s">
        <v>73</v>
      </c>
      <c r="H31" s="6"/>
    </row>
    <row r="32" customFormat="false" ht="15" hidden="false" customHeight="false" outlineLevel="0" collapsed="false">
      <c r="A32" s="11" t="s">
        <v>81</v>
      </c>
      <c r="B32" s="17"/>
      <c r="C32" s="22" t="n">
        <v>0.05</v>
      </c>
      <c r="D32" s="22" t="n">
        <v>0.15</v>
      </c>
      <c r="E32" s="22" t="n">
        <v>0.25</v>
      </c>
      <c r="F32" s="22" t="n">
        <v>0.32</v>
      </c>
      <c r="G32" s="22" t="n">
        <v>0.38</v>
      </c>
      <c r="H32" s="17" t="s">
        <v>82</v>
      </c>
    </row>
    <row r="33" customFormat="false" ht="15" hidden="false" customHeight="false" outlineLevel="0" collapsed="false">
      <c r="A33" s="11" t="s">
        <v>83</v>
      </c>
      <c r="B33" s="17"/>
      <c r="C33" s="29" t="n">
        <v>0.02</v>
      </c>
      <c r="D33" s="29" t="n">
        <v>0.05</v>
      </c>
      <c r="E33" s="29" t="n">
        <v>0.08</v>
      </c>
      <c r="F33" s="29" t="n">
        <v>0.1</v>
      </c>
      <c r="G33" s="29" t="n">
        <v>0.12</v>
      </c>
      <c r="H33" s="17" t="s">
        <v>84</v>
      </c>
    </row>
    <row r="34" customFormat="false" ht="15" hidden="false" customHeight="false" outlineLevel="0" collapsed="false">
      <c r="A34" s="11" t="s">
        <v>85</v>
      </c>
      <c r="B34" s="17"/>
      <c r="C34" s="22" t="n">
        <v>0.08</v>
      </c>
      <c r="D34" s="22" t="n">
        <v>0.12</v>
      </c>
      <c r="E34" s="22" t="n">
        <v>0.15</v>
      </c>
      <c r="F34" s="22" t="n">
        <v>0.17</v>
      </c>
      <c r="G34" s="22" t="n">
        <v>0.18</v>
      </c>
      <c r="H34" s="17" t="s">
        <v>86</v>
      </c>
    </row>
    <row r="35" customFormat="false" ht="15" hidden="false" customHeight="false" outlineLevel="0" collapsed="false">
      <c r="A35" s="11" t="s">
        <v>87</v>
      </c>
      <c r="B35" s="17"/>
      <c r="C35" s="29" t="n">
        <v>0.1</v>
      </c>
      <c r="D35" s="29" t="n">
        <v>0.3</v>
      </c>
      <c r="E35" s="29" t="n">
        <v>0.45</v>
      </c>
      <c r="F35" s="29" t="n">
        <v>0.55</v>
      </c>
      <c r="G35" s="29" t="n">
        <v>0.6</v>
      </c>
      <c r="H35" s="17" t="s">
        <v>88</v>
      </c>
    </row>
    <row r="36" customFormat="false" ht="15" hidden="false" customHeight="false" outlineLevel="0" collapsed="false">
      <c r="A36" s="11" t="s">
        <v>89</v>
      </c>
      <c r="B36" s="17"/>
      <c r="C36" s="29" t="n">
        <v>0.1</v>
      </c>
      <c r="D36" s="29" t="n">
        <v>0.3</v>
      </c>
      <c r="E36" s="29" t="n">
        <v>0.5</v>
      </c>
      <c r="F36" s="29" t="n">
        <v>0.6</v>
      </c>
      <c r="G36" s="29" t="n">
        <v>0.65</v>
      </c>
      <c r="H36" s="17" t="s">
        <v>90</v>
      </c>
    </row>
    <row r="37" customFormat="false" ht="15" hidden="false" customHeight="false" outlineLevel="0" collapsed="false">
      <c r="A37" s="11" t="s">
        <v>91</v>
      </c>
      <c r="B37" s="17"/>
      <c r="C37" s="29" t="n">
        <v>0</v>
      </c>
      <c r="D37" s="29" t="n">
        <v>0.02</v>
      </c>
      <c r="E37" s="29" t="n">
        <v>0.05</v>
      </c>
      <c r="F37" s="29" t="n">
        <v>0.08</v>
      </c>
      <c r="G37" s="29" t="n">
        <v>0.1</v>
      </c>
      <c r="H37" s="17" t="s">
        <v>92</v>
      </c>
    </row>
    <row r="38" customFormat="false" ht="15" hidden="false" customHeight="false" outlineLevel="0" collapsed="false">
      <c r="A38" s="11" t="s">
        <v>93</v>
      </c>
      <c r="B38" s="17"/>
      <c r="C38" s="24" t="n">
        <v>0</v>
      </c>
      <c r="D38" s="24" t="n">
        <v>0</v>
      </c>
      <c r="E38" s="24" t="n">
        <v>1</v>
      </c>
      <c r="F38" s="24" t="n">
        <v>1</v>
      </c>
      <c r="G38" s="24" t="n">
        <v>1</v>
      </c>
      <c r="H38" s="17" t="s">
        <v>94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15" t="s">
        <v>95</v>
      </c>
      <c r="B40" s="16"/>
      <c r="C40" s="16"/>
      <c r="D40" s="16"/>
      <c r="E40" s="16"/>
      <c r="F40" s="16"/>
      <c r="G40" s="16"/>
      <c r="H40" s="16"/>
    </row>
    <row r="41" customFormat="false" ht="15" hidden="false" customHeight="false" outlineLevel="0" collapsed="false">
      <c r="A41" s="11" t="s">
        <v>96</v>
      </c>
      <c r="B41" s="17" t="s">
        <v>97</v>
      </c>
      <c r="C41" s="24" t="n">
        <v>28</v>
      </c>
      <c r="D41" s="2"/>
      <c r="E41" s="2"/>
      <c r="F41" s="2"/>
      <c r="G41" s="2"/>
      <c r="H41" s="17" t="s">
        <v>98</v>
      </c>
    </row>
    <row r="42" customFormat="false" ht="15" hidden="false" customHeight="false" outlineLevel="0" collapsed="false">
      <c r="A42" s="11" t="s">
        <v>99</v>
      </c>
      <c r="B42" s="17" t="s">
        <v>100</v>
      </c>
      <c r="C42" s="26" t="n">
        <v>38</v>
      </c>
      <c r="D42" s="2"/>
      <c r="E42" s="2"/>
      <c r="F42" s="2"/>
      <c r="G42" s="2"/>
      <c r="H42" s="17" t="s">
        <v>101</v>
      </c>
    </row>
    <row r="43" customFormat="false" ht="15" hidden="false" customHeight="false" outlineLevel="0" collapsed="false">
      <c r="A43" s="11" t="s">
        <v>102</v>
      </c>
      <c r="B43" s="17" t="s">
        <v>103</v>
      </c>
      <c r="C43" s="24" t="n">
        <v>30</v>
      </c>
      <c r="D43" s="2"/>
      <c r="E43" s="2"/>
      <c r="F43" s="2"/>
      <c r="G43" s="2"/>
      <c r="H43" s="17" t="s">
        <v>104</v>
      </c>
    </row>
    <row r="44" customFormat="false" ht="15" hidden="false" customHeight="false" outlineLevel="0" collapsed="false">
      <c r="A44" s="11" t="s">
        <v>105</v>
      </c>
      <c r="B44" s="17"/>
      <c r="C44" s="29" t="n">
        <v>0.08</v>
      </c>
      <c r="D44" s="2"/>
      <c r="E44" s="2"/>
      <c r="F44" s="2"/>
      <c r="G44" s="2"/>
      <c r="H44" s="17" t="s">
        <v>106</v>
      </c>
    </row>
    <row r="45" customFormat="false" ht="15" hidden="false" customHeight="false" outlineLevel="0" collapsed="false">
      <c r="A45" s="11" t="s">
        <v>107</v>
      </c>
      <c r="B45" s="17" t="s">
        <v>100</v>
      </c>
      <c r="C45" s="26" t="n">
        <v>39</v>
      </c>
      <c r="D45" s="2"/>
      <c r="E45" s="2"/>
      <c r="F45" s="2"/>
      <c r="G45" s="2"/>
      <c r="H45" s="17" t="s">
        <v>108</v>
      </c>
    </row>
    <row r="46" customFormat="false" ht="15" hidden="false" customHeight="false" outlineLevel="0" collapsed="false">
      <c r="A46" s="11" t="s">
        <v>109</v>
      </c>
      <c r="B46" s="17" t="s">
        <v>100</v>
      </c>
      <c r="C46" s="26" t="n">
        <v>99</v>
      </c>
      <c r="D46" s="2"/>
      <c r="E46" s="2"/>
      <c r="F46" s="2"/>
      <c r="G46" s="2"/>
      <c r="H46" s="17" t="s">
        <v>110</v>
      </c>
    </row>
    <row r="47" customFormat="false" ht="15" hidden="false" customHeight="false" outlineLevel="0" collapsed="false">
      <c r="A47" s="11" t="s">
        <v>111</v>
      </c>
      <c r="B47" s="17" t="s">
        <v>112</v>
      </c>
      <c r="C47" s="24" t="n">
        <v>300</v>
      </c>
      <c r="D47" s="2"/>
      <c r="E47" s="2"/>
      <c r="F47" s="2"/>
      <c r="G47" s="2"/>
      <c r="H47" s="17" t="s">
        <v>113</v>
      </c>
    </row>
    <row r="48" customFormat="false" ht="15" hidden="false" customHeight="false" outlineLevel="0" collapsed="false">
      <c r="A48" s="11" t="s">
        <v>114</v>
      </c>
      <c r="B48" s="17" t="s">
        <v>115</v>
      </c>
      <c r="C48" s="26" t="n">
        <v>30</v>
      </c>
      <c r="D48" s="2"/>
      <c r="E48" s="2"/>
      <c r="F48" s="2"/>
      <c r="G48" s="2"/>
      <c r="H48" s="17" t="s">
        <v>116</v>
      </c>
    </row>
    <row r="49" customFormat="false" ht="15" hidden="false" customHeight="false" outlineLevel="0" collapsed="false">
      <c r="A49" s="11" t="s">
        <v>117</v>
      </c>
      <c r="B49" s="17" t="s">
        <v>118</v>
      </c>
      <c r="C49" s="30" t="n">
        <v>6</v>
      </c>
      <c r="D49" s="2"/>
      <c r="E49" s="2"/>
      <c r="F49" s="2"/>
      <c r="G49" s="2"/>
      <c r="H49" s="17" t="s">
        <v>119</v>
      </c>
    </row>
    <row r="50" customFormat="false" ht="15" hidden="false" customHeight="false" outlineLevel="0" collapsed="false">
      <c r="A50" s="11" t="s">
        <v>120</v>
      </c>
      <c r="B50" s="17"/>
      <c r="C50" s="29" t="n">
        <v>0.8</v>
      </c>
      <c r="D50" s="2"/>
      <c r="E50" s="2"/>
      <c r="F50" s="2"/>
      <c r="G50" s="2"/>
      <c r="H50" s="17" t="s">
        <v>121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15" t="s">
        <v>122</v>
      </c>
      <c r="B52" s="16"/>
      <c r="C52" s="16"/>
      <c r="D52" s="16"/>
      <c r="E52" s="16"/>
      <c r="F52" s="16"/>
      <c r="G52" s="16"/>
      <c r="H52" s="16"/>
    </row>
    <row r="53" customFormat="false" ht="15" hidden="false" customHeight="false" outlineLevel="0" collapsed="false">
      <c r="A53" s="11" t="s">
        <v>123</v>
      </c>
      <c r="B53" s="17" t="s">
        <v>124</v>
      </c>
      <c r="C53" s="31" t="n">
        <v>0.12</v>
      </c>
      <c r="D53" s="2"/>
      <c r="E53" s="2"/>
      <c r="F53" s="2"/>
      <c r="G53" s="2"/>
      <c r="H53" s="17" t="s">
        <v>125</v>
      </c>
    </row>
    <row r="54" customFormat="false" ht="15" hidden="false" customHeight="false" outlineLevel="0" collapsed="false">
      <c r="A54" s="11" t="s">
        <v>126</v>
      </c>
      <c r="B54" s="17" t="s">
        <v>127</v>
      </c>
      <c r="C54" s="30" t="n">
        <v>0.5</v>
      </c>
      <c r="D54" s="2"/>
      <c r="E54" s="2"/>
      <c r="F54" s="2"/>
      <c r="G54" s="2"/>
      <c r="H54" s="17" t="s">
        <v>128</v>
      </c>
    </row>
    <row r="55" customFormat="false" ht="15" hidden="false" customHeight="false" outlineLevel="0" collapsed="false">
      <c r="A55" s="11" t="s">
        <v>129</v>
      </c>
      <c r="B55" s="17" t="s">
        <v>127</v>
      </c>
      <c r="C55" s="30" t="n">
        <v>5</v>
      </c>
      <c r="D55" s="2"/>
      <c r="E55" s="2"/>
      <c r="F55" s="2"/>
      <c r="G55" s="2"/>
      <c r="H55" s="17" t="s">
        <v>130</v>
      </c>
    </row>
    <row r="56" customFormat="false" ht="15" hidden="false" customHeight="false" outlineLevel="0" collapsed="false">
      <c r="A56" s="11" t="s">
        <v>131</v>
      </c>
      <c r="B56" s="17" t="s">
        <v>100</v>
      </c>
      <c r="C56" s="26" t="n">
        <v>25</v>
      </c>
      <c r="D56" s="2"/>
      <c r="E56" s="2"/>
      <c r="F56" s="2"/>
      <c r="G56" s="2"/>
      <c r="H56" s="17" t="s">
        <v>132</v>
      </c>
    </row>
    <row r="57" customFormat="false" ht="15" hidden="false" customHeight="false" outlineLevel="0" collapsed="false">
      <c r="A57" s="11" t="s">
        <v>133</v>
      </c>
      <c r="B57" s="17" t="s">
        <v>134</v>
      </c>
      <c r="C57" s="30" t="n">
        <v>0.1</v>
      </c>
      <c r="D57" s="2"/>
      <c r="E57" s="2"/>
      <c r="F57" s="2"/>
      <c r="G57" s="2"/>
      <c r="H57" s="17" t="s">
        <v>135</v>
      </c>
    </row>
    <row r="58" customFormat="false" ht="15" hidden="false" customHeight="false" outlineLevel="0" collapsed="false">
      <c r="A58" s="11" t="s">
        <v>136</v>
      </c>
      <c r="B58" s="17"/>
      <c r="C58" s="29" t="n">
        <v>0.029</v>
      </c>
      <c r="D58" s="2"/>
      <c r="E58" s="2"/>
      <c r="F58" s="2"/>
      <c r="G58" s="2"/>
      <c r="H58" s="17" t="s">
        <v>137</v>
      </c>
    </row>
    <row r="59" customFormat="false" ht="15" hidden="false" customHeight="false" outlineLevel="0" collapsed="false">
      <c r="A59" s="11" t="s">
        <v>138</v>
      </c>
      <c r="B59" s="17" t="s">
        <v>139</v>
      </c>
      <c r="C59" s="30" t="n">
        <v>0.3</v>
      </c>
      <c r="D59" s="2"/>
      <c r="E59" s="2"/>
      <c r="F59" s="2"/>
      <c r="G59" s="2"/>
      <c r="H59" s="17" t="s">
        <v>140</v>
      </c>
    </row>
    <row r="60" customFormat="false" ht="15" hidden="false" customHeight="false" outlineLevel="0" collapsed="false">
      <c r="A60" s="11" t="s">
        <v>141</v>
      </c>
      <c r="B60" s="17" t="s">
        <v>142</v>
      </c>
      <c r="C60" s="26" t="n">
        <v>20</v>
      </c>
      <c r="D60" s="2"/>
      <c r="E60" s="2"/>
      <c r="F60" s="2"/>
      <c r="G60" s="2"/>
      <c r="H60" s="17" t="s">
        <v>143</v>
      </c>
    </row>
    <row r="61" customFormat="false" ht="15" hidden="false" customHeight="false" outlineLevel="0" collapsed="false">
      <c r="A61" s="11" t="s">
        <v>144</v>
      </c>
      <c r="B61" s="17" t="s">
        <v>145</v>
      </c>
      <c r="C61" s="26" t="n">
        <v>25</v>
      </c>
      <c r="D61" s="2"/>
      <c r="E61" s="2"/>
      <c r="F61" s="2"/>
      <c r="G61" s="2"/>
      <c r="H61" s="17" t="s">
        <v>146</v>
      </c>
    </row>
    <row r="62" customFormat="false" ht="15" hidden="false" customHeight="false" outlineLevel="0" collapsed="false">
      <c r="A62" s="11" t="s">
        <v>147</v>
      </c>
      <c r="B62" s="17" t="s">
        <v>145</v>
      </c>
      <c r="C62" s="26" t="n">
        <v>15</v>
      </c>
      <c r="D62" s="2"/>
      <c r="E62" s="2"/>
      <c r="F62" s="2"/>
      <c r="G62" s="2"/>
      <c r="H62" s="17" t="s">
        <v>143</v>
      </c>
    </row>
    <row r="63" customFormat="false" ht="15" hidden="false" customHeight="false" outlineLevel="0" collapsed="false">
      <c r="A63" s="11" t="s">
        <v>148</v>
      </c>
      <c r="B63" s="17" t="s">
        <v>145</v>
      </c>
      <c r="C63" s="32" t="n">
        <v>1500</v>
      </c>
      <c r="D63" s="2"/>
      <c r="E63" s="2"/>
      <c r="F63" s="2"/>
      <c r="G63" s="2"/>
      <c r="H63" s="17" t="s">
        <v>149</v>
      </c>
    </row>
    <row r="64" customFormat="false" ht="15" hidden="false" customHeight="false" outlineLevel="0" collapsed="false">
      <c r="A64" s="11" t="s">
        <v>150</v>
      </c>
      <c r="B64" s="17" t="s">
        <v>151</v>
      </c>
      <c r="C64" s="30" t="n">
        <v>2</v>
      </c>
      <c r="D64" s="2"/>
      <c r="E64" s="2"/>
      <c r="F64" s="2"/>
      <c r="G64" s="2"/>
      <c r="H64" s="17" t="s">
        <v>143</v>
      </c>
    </row>
    <row r="65" customFormat="false" ht="15" hidden="false" customHeight="false" outlineLevel="0" collapsed="false">
      <c r="A65" s="11" t="s">
        <v>152</v>
      </c>
      <c r="B65" s="17"/>
      <c r="C65" s="29" t="n">
        <v>0.4</v>
      </c>
      <c r="D65" s="2"/>
      <c r="E65" s="2"/>
      <c r="F65" s="2"/>
      <c r="G65" s="2"/>
      <c r="H65" s="17" t="s">
        <v>153</v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15" t="s">
        <v>154</v>
      </c>
      <c r="B67" s="16"/>
      <c r="C67" s="16"/>
      <c r="D67" s="16"/>
      <c r="E67" s="16"/>
      <c r="F67" s="16"/>
      <c r="G67" s="16"/>
      <c r="H67" s="16"/>
    </row>
    <row r="68" customFormat="false" ht="15" hidden="false" customHeight="false" outlineLevel="0" collapsed="false">
      <c r="A68" s="11" t="s">
        <v>155</v>
      </c>
      <c r="B68" s="17"/>
      <c r="C68" s="29" t="n">
        <v>0.25</v>
      </c>
      <c r="D68" s="2"/>
      <c r="E68" s="2"/>
      <c r="F68" s="2"/>
      <c r="G68" s="2"/>
      <c r="H68" s="17" t="s">
        <v>143</v>
      </c>
    </row>
    <row r="69" customFormat="false" ht="15" hidden="false" customHeight="false" outlineLevel="0" collapsed="false">
      <c r="A69" s="11" t="s">
        <v>156</v>
      </c>
      <c r="B69" s="17"/>
      <c r="C69" s="29" t="n">
        <v>0.03</v>
      </c>
      <c r="D69" s="2"/>
      <c r="E69" s="2"/>
      <c r="F69" s="2"/>
      <c r="G69" s="2"/>
      <c r="H69" s="17" t="s">
        <v>143</v>
      </c>
    </row>
    <row r="70" customFormat="false" ht="15" hidden="false" customHeight="false" outlineLevel="0" collapsed="false">
      <c r="A70" s="11" t="s">
        <v>157</v>
      </c>
      <c r="B70" s="17"/>
      <c r="C70" s="29" t="n">
        <v>0.1</v>
      </c>
      <c r="D70" s="2"/>
      <c r="E70" s="2"/>
      <c r="F70" s="2"/>
      <c r="G70" s="2"/>
      <c r="H70" s="17" t="s">
        <v>158</v>
      </c>
    </row>
    <row r="71" customFormat="false" ht="15" hidden="false" customHeight="false" outlineLevel="0" collapsed="false">
      <c r="A71" s="11" t="s">
        <v>159</v>
      </c>
      <c r="B71" s="17" t="s">
        <v>50</v>
      </c>
      <c r="C71" s="21" t="n">
        <v>40</v>
      </c>
      <c r="D71" s="2"/>
      <c r="E71" s="2"/>
      <c r="F71" s="2"/>
      <c r="G71" s="2"/>
      <c r="H71" s="17" t="s">
        <v>160</v>
      </c>
    </row>
    <row r="72" customFormat="false" ht="15" hidden="false" customHeight="false" outlineLevel="0" collapsed="false">
      <c r="A72" s="11" t="s">
        <v>161</v>
      </c>
      <c r="B72" s="17" t="s">
        <v>50</v>
      </c>
      <c r="C72" s="21" t="n">
        <v>30</v>
      </c>
      <c r="D72" s="2"/>
      <c r="E72" s="2"/>
      <c r="F72" s="2"/>
      <c r="G72" s="2"/>
      <c r="H72" s="17" t="s">
        <v>162</v>
      </c>
    </row>
    <row r="73" customFormat="false" ht="15" hidden="false" customHeight="false" outlineLevel="0" collapsed="false">
      <c r="A73" s="11" t="s">
        <v>163</v>
      </c>
      <c r="B73" s="17" t="s">
        <v>50</v>
      </c>
      <c r="C73" s="24" t="n">
        <v>120</v>
      </c>
      <c r="D73" s="2"/>
      <c r="E73" s="2"/>
      <c r="F73" s="2"/>
      <c r="G73" s="2"/>
      <c r="H73" s="17" t="s">
        <v>143</v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15" t="s">
        <v>164</v>
      </c>
      <c r="B75" s="16"/>
      <c r="C75" s="16"/>
      <c r="D75" s="16"/>
      <c r="E75" s="16"/>
      <c r="F75" s="16"/>
      <c r="G75" s="16"/>
      <c r="H75" s="16"/>
    </row>
    <row r="76" customFormat="false" ht="15" hidden="false" customHeight="false" outlineLevel="0" collapsed="false">
      <c r="A76" s="11" t="s">
        <v>165</v>
      </c>
      <c r="B76" s="17" t="s">
        <v>142</v>
      </c>
      <c r="C76" s="26" t="n">
        <v>160000</v>
      </c>
      <c r="D76" s="2"/>
      <c r="E76" s="2"/>
      <c r="F76" s="2"/>
      <c r="G76" s="2"/>
      <c r="H76" s="17" t="s">
        <v>143</v>
      </c>
    </row>
    <row r="77" customFormat="false" ht="15" hidden="false" customHeight="false" outlineLevel="0" collapsed="false">
      <c r="A77" s="11" t="s">
        <v>166</v>
      </c>
      <c r="B77" s="17" t="s">
        <v>142</v>
      </c>
      <c r="C77" s="26" t="n">
        <v>170000</v>
      </c>
      <c r="D77" s="2"/>
      <c r="E77" s="2"/>
      <c r="F77" s="2"/>
      <c r="G77" s="2"/>
      <c r="H77" s="17" t="s">
        <v>143</v>
      </c>
    </row>
    <row r="78" customFormat="false" ht="15" hidden="false" customHeight="false" outlineLevel="0" collapsed="false">
      <c r="A78" s="11" t="s">
        <v>167</v>
      </c>
      <c r="B78" s="17" t="s">
        <v>142</v>
      </c>
      <c r="C78" s="26" t="n">
        <v>70000</v>
      </c>
      <c r="D78" s="2"/>
      <c r="E78" s="2"/>
      <c r="F78" s="2"/>
      <c r="G78" s="2"/>
      <c r="H78" s="17" t="s">
        <v>143</v>
      </c>
    </row>
    <row r="79" customFormat="false" ht="15" hidden="false" customHeight="false" outlineLevel="0" collapsed="false">
      <c r="A79" s="11" t="s">
        <v>168</v>
      </c>
      <c r="B79" s="17" t="s">
        <v>142</v>
      </c>
      <c r="C79" s="26" t="n">
        <v>65000</v>
      </c>
      <c r="D79" s="2"/>
      <c r="E79" s="2"/>
      <c r="F79" s="2"/>
      <c r="G79" s="2"/>
      <c r="H79" s="17" t="s">
        <v>143</v>
      </c>
    </row>
    <row r="80" customFormat="false" ht="15" hidden="false" customHeight="false" outlineLevel="0" collapsed="false">
      <c r="A80" s="11" t="s">
        <v>169</v>
      </c>
      <c r="B80" s="17" t="s">
        <v>142</v>
      </c>
      <c r="C80" s="26" t="n">
        <v>55000</v>
      </c>
      <c r="D80" s="2"/>
      <c r="E80" s="2"/>
      <c r="F80" s="2"/>
      <c r="G80" s="2"/>
      <c r="H80" s="17" t="s">
        <v>143</v>
      </c>
    </row>
    <row r="81" customFormat="false" ht="15" hidden="false" customHeight="false" outlineLevel="0" collapsed="false">
      <c r="A81" s="11" t="s">
        <v>170</v>
      </c>
      <c r="B81" s="17" t="s">
        <v>142</v>
      </c>
      <c r="C81" s="26" t="n">
        <v>110000</v>
      </c>
      <c r="D81" s="2"/>
      <c r="E81" s="2"/>
      <c r="F81" s="2"/>
      <c r="G81" s="2"/>
      <c r="H81" s="17" t="s">
        <v>143</v>
      </c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15" t="s">
        <v>171</v>
      </c>
      <c r="B83" s="16"/>
      <c r="C83" s="16"/>
      <c r="D83" s="16"/>
      <c r="E83" s="16"/>
      <c r="F83" s="16"/>
      <c r="G83" s="16"/>
      <c r="H83" s="16"/>
    </row>
    <row r="84" customFormat="false" ht="15" hidden="false" customHeight="false" outlineLevel="0" collapsed="false">
      <c r="A84" s="5" t="s">
        <v>48</v>
      </c>
      <c r="B84" s="6"/>
      <c r="C84" s="7" t="s">
        <v>4</v>
      </c>
      <c r="D84" s="7" t="s">
        <v>5</v>
      </c>
      <c r="E84" s="7" t="s">
        <v>6</v>
      </c>
      <c r="F84" s="7" t="s">
        <v>7</v>
      </c>
      <c r="G84" s="7" t="s">
        <v>8</v>
      </c>
      <c r="H84" s="6"/>
    </row>
    <row r="85" customFormat="false" ht="15" hidden="false" customHeight="false" outlineLevel="0" collapsed="false">
      <c r="A85" s="11" t="s">
        <v>165</v>
      </c>
      <c r="B85" s="17" t="s">
        <v>172</v>
      </c>
      <c r="C85" s="24" t="n">
        <v>2</v>
      </c>
      <c r="D85" s="24" t="n">
        <v>2</v>
      </c>
      <c r="E85" s="24" t="n">
        <v>3</v>
      </c>
      <c r="F85" s="24" t="n">
        <v>4</v>
      </c>
      <c r="G85" s="24" t="n">
        <v>5</v>
      </c>
      <c r="H85" s="17" t="s">
        <v>173</v>
      </c>
    </row>
    <row r="86" customFormat="false" ht="15" hidden="false" customHeight="false" outlineLevel="0" collapsed="false">
      <c r="A86" s="11" t="s">
        <v>174</v>
      </c>
      <c r="B86" s="17" t="s">
        <v>172</v>
      </c>
      <c r="C86" s="24" t="n">
        <v>3</v>
      </c>
      <c r="D86" s="24" t="n">
        <v>5</v>
      </c>
      <c r="E86" s="24" t="n">
        <v>8</v>
      </c>
      <c r="F86" s="24" t="n">
        <v>11</v>
      </c>
      <c r="G86" s="24" t="n">
        <v>14</v>
      </c>
      <c r="H86" s="17" t="s">
        <v>173</v>
      </c>
    </row>
    <row r="87" customFormat="false" ht="15" hidden="false" customHeight="false" outlineLevel="0" collapsed="false">
      <c r="A87" s="11" t="s">
        <v>170</v>
      </c>
      <c r="B87" s="17" t="s">
        <v>172</v>
      </c>
      <c r="C87" s="24" t="n">
        <v>1</v>
      </c>
      <c r="D87" s="24" t="n">
        <v>1</v>
      </c>
      <c r="E87" s="24" t="n">
        <v>2</v>
      </c>
      <c r="F87" s="24" t="n">
        <v>3</v>
      </c>
      <c r="G87" s="24" t="n">
        <v>4</v>
      </c>
      <c r="H87" s="17" t="s">
        <v>173</v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15" t="s">
        <v>175</v>
      </c>
      <c r="B89" s="16"/>
      <c r="C89" s="16"/>
      <c r="D89" s="16"/>
      <c r="E89" s="16"/>
      <c r="F89" s="16"/>
      <c r="G89" s="16"/>
      <c r="H89" s="16"/>
    </row>
    <row r="90" customFormat="false" ht="15" hidden="false" customHeight="false" outlineLevel="0" collapsed="false">
      <c r="A90" s="5" t="s">
        <v>48</v>
      </c>
      <c r="B90" s="6"/>
      <c r="C90" s="7" t="s">
        <v>4</v>
      </c>
      <c r="D90" s="7" t="s">
        <v>5</v>
      </c>
      <c r="E90" s="7" t="s">
        <v>6</v>
      </c>
      <c r="F90" s="7" t="s">
        <v>7</v>
      </c>
      <c r="G90" s="7" t="s">
        <v>8</v>
      </c>
      <c r="H90" s="6"/>
    </row>
    <row r="91" customFormat="false" ht="15" hidden="false" customHeight="false" outlineLevel="0" collapsed="false">
      <c r="A91" s="11" t="s">
        <v>176</v>
      </c>
      <c r="B91" s="17" t="s">
        <v>177</v>
      </c>
      <c r="C91" s="26" t="n">
        <v>50000</v>
      </c>
      <c r="D91" s="26" t="n">
        <v>150000</v>
      </c>
      <c r="E91" s="26" t="n">
        <v>300000</v>
      </c>
      <c r="F91" s="26" t="n">
        <v>500000</v>
      </c>
      <c r="G91" s="26" t="n">
        <v>700000</v>
      </c>
      <c r="H91" s="17" t="s">
        <v>178</v>
      </c>
    </row>
    <row r="92" customFormat="false" ht="15" hidden="false" customHeight="false" outlineLevel="0" collapsed="false">
      <c r="A92" s="11" t="s">
        <v>179</v>
      </c>
      <c r="B92" s="17" t="s">
        <v>177</v>
      </c>
      <c r="C92" s="26" t="n">
        <v>60000</v>
      </c>
      <c r="D92" s="26" t="n">
        <v>90000</v>
      </c>
      <c r="E92" s="26" t="n">
        <v>140000</v>
      </c>
      <c r="F92" s="26" t="n">
        <v>200000</v>
      </c>
      <c r="G92" s="26" t="n">
        <v>260000</v>
      </c>
      <c r="H92" s="17" t="s">
        <v>180</v>
      </c>
    </row>
    <row r="93" customFormat="false" ht="15" hidden="false" customHeight="false" outlineLevel="0" collapsed="false">
      <c r="A93" s="11" t="s">
        <v>181</v>
      </c>
      <c r="B93" s="17" t="s">
        <v>182</v>
      </c>
      <c r="C93" s="26" t="n">
        <v>100</v>
      </c>
      <c r="D93" s="2"/>
      <c r="E93" s="2"/>
      <c r="F93" s="2"/>
      <c r="G93" s="2"/>
      <c r="H93" s="17" t="s">
        <v>143</v>
      </c>
    </row>
    <row r="94" customFormat="false" ht="15" hidden="false" customHeight="false" outlineLevel="0" collapsed="false">
      <c r="A94" s="11" t="s">
        <v>183</v>
      </c>
      <c r="B94" s="17" t="s">
        <v>142</v>
      </c>
      <c r="C94" s="26" t="n">
        <v>3000</v>
      </c>
      <c r="D94" s="2"/>
      <c r="E94" s="2"/>
      <c r="F94" s="2"/>
      <c r="G94" s="2"/>
      <c r="H94" s="17" t="s">
        <v>143</v>
      </c>
    </row>
    <row r="95" customFormat="false" ht="15" hidden="false" customHeight="false" outlineLevel="0" collapsed="false">
      <c r="A95" s="11" t="s">
        <v>184</v>
      </c>
      <c r="B95" s="17" t="s">
        <v>185</v>
      </c>
      <c r="C95" s="26" t="n">
        <v>2500</v>
      </c>
      <c r="D95" s="2"/>
      <c r="E95" s="2"/>
      <c r="F95" s="2"/>
      <c r="G95" s="2"/>
      <c r="H95" s="17" t="s">
        <v>143</v>
      </c>
    </row>
    <row r="96" customFormat="false" ht="15" hidden="false" customHeight="false" outlineLevel="0" collapsed="false">
      <c r="A96" s="11" t="s">
        <v>186</v>
      </c>
      <c r="B96" s="17" t="s">
        <v>187</v>
      </c>
      <c r="C96" s="24" t="n">
        <v>3</v>
      </c>
      <c r="D96" s="2"/>
      <c r="E96" s="2"/>
      <c r="F96" s="2"/>
      <c r="G96" s="2"/>
      <c r="H96" s="17" t="s">
        <v>188</v>
      </c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15" t="s">
        <v>189</v>
      </c>
      <c r="B98" s="16"/>
      <c r="C98" s="16"/>
      <c r="D98" s="16"/>
      <c r="E98" s="16"/>
      <c r="F98" s="16"/>
      <c r="G98" s="16"/>
      <c r="H98" s="16"/>
    </row>
    <row r="99" customFormat="false" ht="15" hidden="false" customHeight="false" outlineLevel="0" collapsed="false">
      <c r="A99" s="11" t="s">
        <v>190</v>
      </c>
      <c r="B99" s="17"/>
      <c r="C99" s="29" t="n">
        <v>0.25</v>
      </c>
      <c r="D99" s="2"/>
      <c r="E99" s="2"/>
      <c r="F99" s="2"/>
      <c r="G99" s="2"/>
      <c r="H99" s="17" t="s">
        <v>191</v>
      </c>
    </row>
    <row r="100" customFormat="false" ht="15" hidden="false" customHeight="false" outlineLevel="0" collapsed="false">
      <c r="A100" s="11" t="s">
        <v>192</v>
      </c>
      <c r="B100" s="17"/>
      <c r="C100" s="29" t="n">
        <v>0.03</v>
      </c>
      <c r="D100" s="2"/>
      <c r="E100" s="2"/>
      <c r="F100" s="2"/>
      <c r="G100" s="2"/>
      <c r="H100" s="17" t="s">
        <v>193</v>
      </c>
    </row>
    <row r="101" customFormat="false" ht="15" hidden="false" customHeight="false" outlineLevel="0" collapsed="false">
      <c r="A101" s="11" t="s">
        <v>194</v>
      </c>
      <c r="B101" s="17" t="s">
        <v>177</v>
      </c>
      <c r="C101" s="32" t="n">
        <v>250000</v>
      </c>
      <c r="D101" s="2"/>
      <c r="E101" s="2"/>
      <c r="F101" s="2"/>
      <c r="G101" s="2"/>
      <c r="H101" s="17" t="s">
        <v>195</v>
      </c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" hidden="false" customHeight="false" outlineLevel="0" collapsed="false">
      <c r="A103" s="5" t="s">
        <v>48</v>
      </c>
      <c r="B103" s="6"/>
      <c r="C103" s="7" t="s">
        <v>4</v>
      </c>
      <c r="D103" s="7" t="s">
        <v>5</v>
      </c>
      <c r="E103" s="7" t="s">
        <v>6</v>
      </c>
      <c r="F103" s="7" t="s">
        <v>7</v>
      </c>
      <c r="G103" s="7" t="s">
        <v>8</v>
      </c>
      <c r="H103" s="6"/>
    </row>
    <row r="104" customFormat="false" ht="15" hidden="false" customHeight="false" outlineLevel="0" collapsed="false">
      <c r="A104" s="11" t="s">
        <v>196</v>
      </c>
      <c r="B104" s="17" t="s">
        <v>177</v>
      </c>
      <c r="C104" s="32" t="n">
        <v>2000000</v>
      </c>
      <c r="D104" s="32" t="n">
        <v>8000000</v>
      </c>
      <c r="E104" s="32" t="n">
        <v>0</v>
      </c>
      <c r="F104" s="32" t="n">
        <v>15000000</v>
      </c>
      <c r="G104" s="32" t="n">
        <v>0</v>
      </c>
      <c r="H104" s="17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3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198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199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11" t="s">
        <v>200</v>
      </c>
      <c r="B5" s="2"/>
      <c r="C5" s="8" t="n">
        <f aca="false">ROUND(Assumptions!C$14*Assumptions!$F$7,0)</f>
        <v>20</v>
      </c>
      <c r="D5" s="8" t="n">
        <f aca="false">ROUND(Assumptions!D$14*Assumptions!$F$7,0)</f>
        <v>80</v>
      </c>
      <c r="E5" s="8" t="n">
        <f aca="false">ROUND(Assumptions!E$14*Assumptions!$F$7,0)</f>
        <v>200</v>
      </c>
      <c r="F5" s="8" t="n">
        <f aca="false">ROUND(Assumptions!F$14*Assumptions!$F$7,0)</f>
        <v>400</v>
      </c>
      <c r="G5" s="8" t="n">
        <f aca="false">ROUND(Assumptions!G$14*Assumptions!$F$7,0)</f>
        <v>700</v>
      </c>
      <c r="H5" s="2"/>
    </row>
    <row r="6" customFormat="false" ht="15" hidden="false" customHeight="false" outlineLevel="0" collapsed="false">
      <c r="A6" s="11" t="s">
        <v>201</v>
      </c>
      <c r="B6" s="2"/>
      <c r="C6" s="33" t="n">
        <f aca="false">C5</f>
        <v>20</v>
      </c>
      <c r="D6" s="33" t="n">
        <f aca="false">C6+D5</f>
        <v>100</v>
      </c>
      <c r="E6" s="33" t="n">
        <f aca="false">D6+E5</f>
        <v>300</v>
      </c>
      <c r="F6" s="33" t="n">
        <f aca="false">E6+F5</f>
        <v>700</v>
      </c>
      <c r="G6" s="33" t="n">
        <f aca="false">F6+G5</f>
        <v>1400</v>
      </c>
      <c r="H6" s="2"/>
    </row>
    <row r="7" customFormat="false" ht="15" hidden="false" customHeight="false" outlineLevel="0" collapsed="false">
      <c r="A7" s="11" t="s">
        <v>9</v>
      </c>
      <c r="B7" s="2"/>
      <c r="C7" s="33" t="n">
        <f aca="false">C$5*Assumptions!$C$28</f>
        <v>20</v>
      </c>
      <c r="D7" s="33" t="n">
        <f aca="false">C$5*Assumptions!$D$28+D$5*Assumptions!$C$28</f>
        <v>99.4</v>
      </c>
      <c r="E7" s="33" t="n">
        <f aca="false">C$5*Assumptions!$E$28+D$5*Assumptions!$D$28+E$5*Assumptions!$C$28</f>
        <v>296.6</v>
      </c>
      <c r="F7" s="33" t="n">
        <f aca="false">C$5*Assumptions!$F$28+D$5*Assumptions!$E$28+E$5*Assumptions!$D$28+F$5*Assumptions!$C$28</f>
        <v>688.8</v>
      </c>
      <c r="G7" s="33" t="n">
        <f aca="false">C$5*Assumptions!$G$28+D$5*Assumptions!$F$28+E$5*Assumptions!$E$28+F$5*Assumptions!$D$28+G$5*Assumptions!$C$28</f>
        <v>1371.8</v>
      </c>
      <c r="H7" s="2" t="s">
        <v>202</v>
      </c>
    </row>
    <row r="8" customFormat="false" ht="15" hidden="false" customHeight="false" outlineLevel="0" collapsed="false">
      <c r="A8" s="11" t="s">
        <v>203</v>
      </c>
      <c r="B8" s="2"/>
      <c r="C8" s="33" t="n">
        <f aca="false">C7/2</f>
        <v>10</v>
      </c>
      <c r="D8" s="33" t="n">
        <f aca="false">(C7+D7)/2</f>
        <v>59.7</v>
      </c>
      <c r="E8" s="33" t="n">
        <f aca="false">(D7+E7)/2</f>
        <v>198</v>
      </c>
      <c r="F8" s="33" t="n">
        <f aca="false">(E7+F7)/2</f>
        <v>492.7</v>
      </c>
      <c r="G8" s="33" t="n">
        <f aca="false">(F7+G7)/2</f>
        <v>1030.3</v>
      </c>
      <c r="H8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206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68</v>
      </c>
      <c r="B4" s="6"/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6"/>
    </row>
    <row r="5" customFormat="false" ht="15" hidden="false" customHeight="false" outlineLevel="0" collapsed="false">
      <c r="A5" s="15" t="s">
        <v>207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11" t="s">
        <v>208</v>
      </c>
      <c r="B6" s="2"/>
      <c r="C6" s="34" t="n">
        <f aca="false">0.5</f>
        <v>0.5</v>
      </c>
      <c r="D6" s="34" t="n">
        <f aca="false">1</f>
        <v>1</v>
      </c>
      <c r="E6" s="34" t="n">
        <f aca="false">1</f>
        <v>1</v>
      </c>
      <c r="F6" s="34" t="n">
        <f aca="false">1</f>
        <v>1</v>
      </c>
      <c r="G6" s="34" t="n">
        <f aca="false">1</f>
        <v>1</v>
      </c>
      <c r="H6" s="17" t="s">
        <v>209</v>
      </c>
    </row>
    <row r="7" customFormat="false" ht="15" hidden="false" customHeight="false" outlineLevel="0" collapsed="false">
      <c r="A7" s="11" t="s">
        <v>78</v>
      </c>
      <c r="B7" s="2"/>
      <c r="C7" s="34" t="n">
        <f aca="false">Assumptions!C$28</f>
        <v>1</v>
      </c>
      <c r="D7" s="34" t="n">
        <f aca="false">Assumptions!D$28</f>
        <v>0.97</v>
      </c>
      <c r="E7" s="34" t="n">
        <f aca="false">Assumptions!E$28</f>
        <v>0.95</v>
      </c>
      <c r="F7" s="34" t="n">
        <f aca="false">Assumptions!F$28</f>
        <v>0.94</v>
      </c>
      <c r="G7" s="34" t="n">
        <f aca="false">Assumptions!G$28</f>
        <v>0.93</v>
      </c>
      <c r="H7" s="2"/>
    </row>
    <row r="8" customFormat="false" ht="15" hidden="false" customHeight="false" outlineLevel="0" collapsed="false">
      <c r="A8" s="11" t="s">
        <v>210</v>
      </c>
      <c r="B8" s="2"/>
      <c r="C8" s="35" t="n">
        <f aca="false">C6*C7</f>
        <v>0.5</v>
      </c>
      <c r="D8" s="35" t="n">
        <f aca="false">D6*D7</f>
        <v>0.97</v>
      </c>
      <c r="E8" s="35" t="n">
        <f aca="false">E6*E7</f>
        <v>0.95</v>
      </c>
      <c r="F8" s="35" t="n">
        <f aca="false">F6*F7</f>
        <v>0.94</v>
      </c>
      <c r="G8" s="35" t="n">
        <f aca="false">G6*G7</f>
        <v>0.93</v>
      </c>
      <c r="H8" s="2"/>
    </row>
    <row r="9" customFormat="false" ht="15" hidden="false" customHeight="false" outlineLevel="0" collapsed="false">
      <c r="A9" s="15" t="s">
        <v>211</v>
      </c>
      <c r="B9" s="16"/>
      <c r="C9" s="16"/>
      <c r="D9" s="16"/>
      <c r="E9" s="16"/>
      <c r="F9" s="16"/>
      <c r="G9" s="16"/>
      <c r="H9" s="16"/>
    </row>
    <row r="10" customFormat="false" ht="15" hidden="false" customHeight="false" outlineLevel="0" collapsed="false">
      <c r="A10" s="11" t="s">
        <v>212</v>
      </c>
      <c r="B10" s="2"/>
      <c r="C10" s="33" t="n">
        <f aca="false">Assumptions!$F$19*Assumptions!C$26*Assumptions!$F$8*C7</f>
        <v>210</v>
      </c>
      <c r="D10" s="33" t="n">
        <f aca="false">Assumptions!$F$19*Assumptions!D$26*Assumptions!$F$8*D7</f>
        <v>543.2</v>
      </c>
      <c r="E10" s="33" t="n">
        <f aca="false">Assumptions!$F$19*Assumptions!E$26*Assumptions!$F$8*E7</f>
        <v>798</v>
      </c>
      <c r="F10" s="33" t="n">
        <f aca="false">Assumptions!$F$19*Assumptions!F$26*Assumptions!$F$8*F7</f>
        <v>987</v>
      </c>
      <c r="G10" s="33" t="n">
        <f aca="false">Assumptions!$F$19*Assumptions!G$26*Assumptions!$F$8*G7</f>
        <v>1106.7</v>
      </c>
      <c r="H10" s="2"/>
    </row>
    <row r="11" customFormat="false" ht="15" hidden="false" customHeight="false" outlineLevel="0" collapsed="false">
      <c r="A11" s="11" t="s">
        <v>213</v>
      </c>
      <c r="B11" s="2"/>
      <c r="C11" s="33" t="n">
        <f aca="false">C10</f>
        <v>210</v>
      </c>
      <c r="D11" s="33" t="n">
        <f aca="false">MAX(0,D10-C10)</f>
        <v>333.2</v>
      </c>
      <c r="E11" s="33" t="n">
        <f aca="false">MAX(0,E10-D10)</f>
        <v>254.8</v>
      </c>
      <c r="F11" s="33" t="n">
        <f aca="false">MAX(0,F10-E10)</f>
        <v>189</v>
      </c>
      <c r="G11" s="33" t="n">
        <f aca="false">MAX(0,G10-F10)</f>
        <v>119.7</v>
      </c>
      <c r="H11" s="2"/>
    </row>
    <row r="12" customFormat="false" ht="15" hidden="false" customHeight="false" outlineLevel="0" collapsed="false">
      <c r="A12" s="11" t="s">
        <v>214</v>
      </c>
      <c r="B12" s="2"/>
      <c r="C12" s="33" t="n">
        <f aca="false">Assumptions!$F$19*Assumptions!C$27*Assumptions!$F$8*12*C8</f>
        <v>84000</v>
      </c>
      <c r="D12" s="33" t="n">
        <f aca="false">Assumptions!$F$19*Assumptions!D$27*Assumptions!$F$8*12*D8</f>
        <v>325920</v>
      </c>
      <c r="E12" s="33" t="n">
        <f aca="false">Assumptions!$F$19*Assumptions!E$27*Assumptions!$F$8*12*E8</f>
        <v>478800</v>
      </c>
      <c r="F12" s="33" t="n">
        <f aca="false">Assumptions!$F$19*Assumptions!F$27*Assumptions!$F$8*12*F8</f>
        <v>552720</v>
      </c>
      <c r="G12" s="33" t="n">
        <f aca="false">Assumptions!$F$19*Assumptions!G$27*Assumptions!$F$8*12*G8</f>
        <v>624960</v>
      </c>
      <c r="H12" s="2"/>
    </row>
    <row r="13" customFormat="false" ht="15" hidden="false" customHeight="false" outlineLevel="0" collapsed="false">
      <c r="A13" s="15" t="s">
        <v>215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11" t="s">
        <v>216</v>
      </c>
      <c r="B14" s="2"/>
      <c r="C14" s="36" t="n">
        <f aca="false">Assumptions!$C$41*3*MIN(1,Assumptions!C$32*Assumptions!$F$9)*C7</f>
        <v>4.2</v>
      </c>
      <c r="D14" s="36" t="n">
        <f aca="false">Assumptions!$C$41*3*MIN(1,Assumptions!D$32*Assumptions!$F$9)*D7</f>
        <v>12.222</v>
      </c>
      <c r="E14" s="36" t="n">
        <f aca="false">Assumptions!$C$41*3*MIN(1,Assumptions!E$32*Assumptions!$F$9)*E7</f>
        <v>19.95</v>
      </c>
      <c r="F14" s="36" t="n">
        <f aca="false">Assumptions!$C$41*3*MIN(1,Assumptions!F$32*Assumptions!$F$9)*F7</f>
        <v>25.2672</v>
      </c>
      <c r="G14" s="36" t="n">
        <f aca="false">Assumptions!$C$41*3*MIN(1,Assumptions!G$32*Assumptions!$F$9)*G7</f>
        <v>29.6856</v>
      </c>
      <c r="H14" s="2"/>
    </row>
    <row r="15" customFormat="false" ht="15" hidden="false" customHeight="false" outlineLevel="0" collapsed="false">
      <c r="A15" s="11" t="s">
        <v>217</v>
      </c>
      <c r="B15" s="2"/>
      <c r="C15" s="36" t="n">
        <f aca="false">Assumptions!$F$20*Assumptions!C$33*MIN(1,Assumptions!C$34*Assumptions!$F$9)*C7</f>
        <v>1.296</v>
      </c>
      <c r="D15" s="36" t="n">
        <f aca="false">Assumptions!$F$20*Assumptions!D$33*MIN(1,Assumptions!D$34*Assumptions!$F$9)*D7</f>
        <v>4.7142</v>
      </c>
      <c r="E15" s="36" t="n">
        <f aca="false">Assumptions!$F$20*Assumptions!E$33*MIN(1,Assumptions!E$34*Assumptions!$F$9)*E7</f>
        <v>9.234</v>
      </c>
      <c r="F15" s="36" t="n">
        <f aca="false">Assumptions!$F$20*Assumptions!F$33*MIN(1,Assumptions!F$34*Assumptions!$F$9)*F7</f>
        <v>12.9438</v>
      </c>
      <c r="G15" s="36" t="n">
        <f aca="false">Assumptions!$F$20*Assumptions!G$33*MIN(1,Assumptions!G$34*Assumptions!$F$9)*G7</f>
        <v>16.27128</v>
      </c>
      <c r="H15" s="2"/>
    </row>
    <row r="16" customFormat="false" ht="15" hidden="false" customHeight="false" outlineLevel="0" collapsed="false">
      <c r="A16" s="11" t="s">
        <v>218</v>
      </c>
      <c r="B16" s="2"/>
      <c r="C16" s="36" t="n">
        <f aca="false">Assumptions!$C$41*MIN(1,Assumptions!C$37*Assumptions!$F$9)*C7</f>
        <v>0</v>
      </c>
      <c r="D16" s="36" t="n">
        <f aca="false">Assumptions!$C$41*MIN(1,Assumptions!D$37*Assumptions!$F$9)*D7</f>
        <v>0.5432</v>
      </c>
      <c r="E16" s="36" t="n">
        <f aca="false">Assumptions!$C$41*MIN(1,Assumptions!E$37*Assumptions!$F$9)*E7</f>
        <v>1.33</v>
      </c>
      <c r="F16" s="36" t="n">
        <f aca="false">Assumptions!$C$41*MIN(1,Assumptions!F$37*Assumptions!$F$9)*F7</f>
        <v>2.1056</v>
      </c>
      <c r="G16" s="36" t="n">
        <f aca="false">Assumptions!$C$41*MIN(1,Assumptions!G$37*Assumptions!$F$9)*G7</f>
        <v>2.604</v>
      </c>
      <c r="H16" s="2"/>
    </row>
    <row r="17" customFormat="false" ht="15" hidden="false" customHeight="false" outlineLevel="0" collapsed="false">
      <c r="A17" s="11" t="s">
        <v>219</v>
      </c>
      <c r="B17" s="2"/>
      <c r="C17" s="36" t="n">
        <f aca="false">C14+C15+C16</f>
        <v>5.496</v>
      </c>
      <c r="D17" s="36" t="n">
        <f aca="false">D14+D15+D16</f>
        <v>17.4794</v>
      </c>
      <c r="E17" s="36" t="n">
        <f aca="false">E14+E15+E16</f>
        <v>30.514</v>
      </c>
      <c r="F17" s="36" t="n">
        <f aca="false">F14+F15+F16</f>
        <v>40.3166</v>
      </c>
      <c r="G17" s="36" t="n">
        <f aca="false">G14+G15+G16</f>
        <v>48.56088</v>
      </c>
      <c r="H17" s="17" t="s">
        <v>220</v>
      </c>
    </row>
    <row r="18" customFormat="false" ht="15" hidden="false" customHeight="false" outlineLevel="0" collapsed="false">
      <c r="A18" s="15" t="s">
        <v>221</v>
      </c>
      <c r="B18" s="16"/>
      <c r="C18" s="16"/>
      <c r="D18" s="16"/>
      <c r="E18" s="16"/>
      <c r="F18" s="16"/>
      <c r="G18" s="16"/>
      <c r="H18" s="16"/>
    </row>
    <row r="19" customFormat="false" ht="15" hidden="false" customHeight="false" outlineLevel="0" collapsed="false">
      <c r="A19" s="11" t="s">
        <v>222</v>
      </c>
      <c r="B19" s="2"/>
      <c r="C19" s="37" t="n">
        <f aca="false">C14/3*Assumptions!$C$42*12*(1-Assumptions!$C$44)*C6</f>
        <v>293.664</v>
      </c>
      <c r="D19" s="37" t="n">
        <f aca="false">D14/3*Assumptions!$C$42*12*(1-Assumptions!$C$44)*D6</f>
        <v>1709.12448</v>
      </c>
      <c r="E19" s="37" t="n">
        <f aca="false">E14/3*Assumptions!$C$42*12*(1-Assumptions!$C$44)*E6</f>
        <v>2789.808</v>
      </c>
      <c r="F19" s="37" t="n">
        <f aca="false">F14/3*Assumptions!$C$42*12*(1-Assumptions!$C$44)*F6</f>
        <v>3533.365248</v>
      </c>
      <c r="G19" s="37" t="n">
        <f aca="false">G14/3*Assumptions!$C$42*12*(1-Assumptions!$C$44)*G6</f>
        <v>4151.234304</v>
      </c>
      <c r="H19" s="17" t="s">
        <v>223</v>
      </c>
    </row>
    <row r="20" customFormat="false" ht="15" hidden="false" customHeight="false" outlineLevel="0" collapsed="false">
      <c r="A20" s="11" t="s">
        <v>224</v>
      </c>
      <c r="B20" s="2"/>
      <c r="C20" s="37" t="n">
        <f aca="false">C15*Assumptions!$C$45*12*C6</f>
        <v>303.264</v>
      </c>
      <c r="D20" s="37" t="n">
        <f aca="false">D15*Assumptions!$C$45*12*D6</f>
        <v>2206.2456</v>
      </c>
      <c r="E20" s="37" t="n">
        <f aca="false">E15*Assumptions!$C$45*12*E6</f>
        <v>4321.512</v>
      </c>
      <c r="F20" s="37" t="n">
        <f aca="false">F15*Assumptions!$C$45*12*F6</f>
        <v>6057.6984</v>
      </c>
      <c r="G20" s="37" t="n">
        <f aca="false">G15*Assumptions!$C$45*12*G6</f>
        <v>7614.95904</v>
      </c>
      <c r="H20" s="2"/>
    </row>
    <row r="21" customFormat="false" ht="15" hidden="false" customHeight="false" outlineLevel="0" collapsed="false">
      <c r="A21" s="11" t="s">
        <v>225</v>
      </c>
      <c r="B21" s="2"/>
      <c r="C21" s="37" t="n">
        <f aca="false">C16*Assumptions!$C$46*12*C6</f>
        <v>0</v>
      </c>
      <c r="D21" s="37" t="n">
        <f aca="false">D16*Assumptions!$C$46*12*D6</f>
        <v>645.3216</v>
      </c>
      <c r="E21" s="37" t="n">
        <f aca="false">E16*Assumptions!$C$46*12*E6</f>
        <v>1580.04</v>
      </c>
      <c r="F21" s="37" t="n">
        <f aca="false">F16*Assumptions!$C$46*12*F6</f>
        <v>2501.4528</v>
      </c>
      <c r="G21" s="37" t="n">
        <f aca="false">G16*Assumptions!$C$46*12*G6</f>
        <v>3093.552</v>
      </c>
      <c r="H21" s="2"/>
    </row>
    <row r="22" customFormat="false" ht="15" hidden="false" customHeight="false" outlineLevel="0" collapsed="false">
      <c r="A22" s="11" t="s">
        <v>226</v>
      </c>
      <c r="B22" s="2"/>
      <c r="C22" s="37" t="n">
        <f aca="false">C10/1000*Assumptions!$C$48*Assumptions!$C$47*MIN(1,Assumptions!C$35*Assumptions!$F$9)*C6</f>
        <v>94.5</v>
      </c>
      <c r="D22" s="37" t="n">
        <f aca="false">D10/1000*Assumptions!$C$48*Assumptions!$C$47*MIN(1,Assumptions!D$35*Assumptions!$F$9)*D6</f>
        <v>1466.64</v>
      </c>
      <c r="E22" s="37" t="n">
        <f aca="false">E10/1000*Assumptions!$C$48*Assumptions!$C$47*MIN(1,Assumptions!E$35*Assumptions!$F$9)*E6</f>
        <v>3231.9</v>
      </c>
      <c r="F22" s="37" t="n">
        <f aca="false">F10/1000*Assumptions!$C$48*Assumptions!$C$47*MIN(1,Assumptions!F$35*Assumptions!$F$9)*F6</f>
        <v>4885.65</v>
      </c>
      <c r="G22" s="37" t="n">
        <f aca="false">G10/1000*Assumptions!$C$48*Assumptions!$C$47*MIN(1,Assumptions!G$35*Assumptions!$F$9)*G6</f>
        <v>5976.18</v>
      </c>
      <c r="H22" s="17" t="s">
        <v>227</v>
      </c>
    </row>
    <row r="23" customFormat="false" ht="15" hidden="false" customHeight="false" outlineLevel="0" collapsed="false">
      <c r="A23" s="11" t="s">
        <v>228</v>
      </c>
      <c r="B23" s="2"/>
      <c r="C23" s="37" t="n">
        <f aca="false">Assumptions!$F$22*12*MIN(1,Assumptions!C$36*Assumptions!$F$9)*C8</f>
        <v>210</v>
      </c>
      <c r="D23" s="37" t="n">
        <f aca="false">Assumptions!$F$22*12*MIN(1,Assumptions!D$36*Assumptions!$F$9)*D8</f>
        <v>1222.2</v>
      </c>
      <c r="E23" s="37" t="n">
        <f aca="false">Assumptions!$F$22*12*MIN(1,Assumptions!E$36*Assumptions!$F$9)*E8</f>
        <v>1995</v>
      </c>
      <c r="F23" s="37" t="n">
        <f aca="false">Assumptions!$F$22*12*MIN(1,Assumptions!F$36*Assumptions!$F$9)*F8</f>
        <v>2368.8</v>
      </c>
      <c r="G23" s="37" t="n">
        <f aca="false">Assumptions!$F$22*12*MIN(1,Assumptions!G$36*Assumptions!$F$9)*G8</f>
        <v>2538.9</v>
      </c>
      <c r="H23" s="2"/>
    </row>
    <row r="24" customFormat="false" ht="15" hidden="false" customHeight="false" outlineLevel="0" collapsed="false">
      <c r="A24" s="11" t="s">
        <v>229</v>
      </c>
      <c r="B24" s="2"/>
      <c r="C24" s="37" t="n">
        <f aca="false">C12/1000*Assumptions!$C$49*Assumptions!$C$50*Assumptions!C$38</f>
        <v>0</v>
      </c>
      <c r="D24" s="37" t="n">
        <f aca="false">D12/1000*Assumptions!$C$49*Assumptions!$C$50*Assumptions!D$38</f>
        <v>0</v>
      </c>
      <c r="E24" s="37" t="n">
        <f aca="false">E12/1000*Assumptions!$C$49*Assumptions!$C$50*Assumptions!E$38</f>
        <v>2298.24</v>
      </c>
      <c r="F24" s="37" t="n">
        <f aca="false">F12/1000*Assumptions!$C$49*Assumptions!$C$50*Assumptions!F$38</f>
        <v>2653.056</v>
      </c>
      <c r="G24" s="37" t="n">
        <f aca="false">G12/1000*Assumptions!$C$49*Assumptions!$C$50*Assumptions!G$38</f>
        <v>2999.808</v>
      </c>
      <c r="H24" s="2"/>
    </row>
    <row r="25" customFormat="false" ht="15" hidden="false" customHeight="false" outlineLevel="0" collapsed="false">
      <c r="A25" s="4" t="s">
        <v>230</v>
      </c>
      <c r="B25" s="2"/>
      <c r="C25" s="38" t="n">
        <f aca="false">SUM(C19:C24)</f>
        <v>901.428</v>
      </c>
      <c r="D25" s="38" t="n">
        <f aca="false">SUM(D19:D24)</f>
        <v>7249.53168</v>
      </c>
      <c r="E25" s="38" t="n">
        <f aca="false">SUM(E19:E24)</f>
        <v>16216.5</v>
      </c>
      <c r="F25" s="38" t="n">
        <f aca="false">SUM(F19:F24)</f>
        <v>22000.022448</v>
      </c>
      <c r="G25" s="38" t="n">
        <f aca="false">SUM(G19:G24)</f>
        <v>26374.633344</v>
      </c>
      <c r="H25" s="2"/>
    </row>
    <row r="26" customFormat="false" ht="15" hidden="false" customHeight="false" outlineLevel="0" collapsed="false">
      <c r="A26" s="11" t="s">
        <v>231</v>
      </c>
      <c r="B26" s="2"/>
      <c r="C26" s="37" t="n">
        <f aca="false">C19+C20</f>
        <v>596.928</v>
      </c>
      <c r="D26" s="37" t="n">
        <f aca="false">D19+D20</f>
        <v>3915.37008</v>
      </c>
      <c r="E26" s="37" t="n">
        <f aca="false">E19+E20</f>
        <v>7111.32</v>
      </c>
      <c r="F26" s="37" t="n">
        <f aca="false">F19+F20</f>
        <v>9591.063648</v>
      </c>
      <c r="G26" s="37" t="n">
        <f aca="false">G19+G20</f>
        <v>11766.193344</v>
      </c>
      <c r="H26" s="2"/>
    </row>
    <row r="27" customFormat="false" ht="15" hidden="false" customHeight="false" outlineLevel="0" collapsed="false">
      <c r="A27" s="11" t="s">
        <v>232</v>
      </c>
      <c r="B27" s="2"/>
      <c r="C27" s="37" t="n">
        <f aca="false">C21+C22+C23</f>
        <v>304.5</v>
      </c>
      <c r="D27" s="37" t="n">
        <f aca="false">D21+D22+D23</f>
        <v>3334.1616</v>
      </c>
      <c r="E27" s="37" t="n">
        <f aca="false">E21+E22+E23</f>
        <v>6806.94</v>
      </c>
      <c r="F27" s="37" t="n">
        <f aca="false">F21+F22+F23</f>
        <v>9755.9028</v>
      </c>
      <c r="G27" s="37" t="n">
        <f aca="false">G21+G22+G23</f>
        <v>11608.632</v>
      </c>
      <c r="H27" s="2"/>
    </row>
    <row r="28" customFormat="false" ht="15" hidden="false" customHeight="false" outlineLevel="0" collapsed="false">
      <c r="A28" s="15" t="s">
        <v>233</v>
      </c>
      <c r="B28" s="16"/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A29" s="11" t="s">
        <v>234</v>
      </c>
      <c r="B29" s="2"/>
      <c r="C29" s="37" t="n">
        <f aca="false">MIN(Assumptions!$C$55,Assumptions!$F$21*Assumptions!$C$53+Assumptions!$C$54)*Assumptions!$F$10*365*C8</f>
        <v>202.94</v>
      </c>
      <c r="D29" s="37" t="n">
        <f aca="false">MIN(Assumptions!$C$55,Assumptions!$F$21*Assumptions!$C$53+Assumptions!$C$54)*Assumptions!$F$10*365*D8</f>
        <v>393.7036</v>
      </c>
      <c r="E29" s="37" t="n">
        <f aca="false">MIN(Assumptions!$C$55,Assumptions!$F$21*Assumptions!$C$53+Assumptions!$C$54)*Assumptions!$F$10*365*E8</f>
        <v>385.586</v>
      </c>
      <c r="F29" s="37" t="n">
        <f aca="false">MIN(Assumptions!$C$55,Assumptions!$F$21*Assumptions!$C$53+Assumptions!$C$54)*Assumptions!$F$10*365*F8</f>
        <v>381.5272</v>
      </c>
      <c r="G29" s="37" t="n">
        <f aca="false">MIN(Assumptions!$C$55,Assumptions!$F$21*Assumptions!$C$53+Assumptions!$C$54)*Assumptions!$F$10*365*G8</f>
        <v>377.4684</v>
      </c>
      <c r="H29" s="17" t="s">
        <v>235</v>
      </c>
    </row>
    <row r="30" customFormat="false" ht="15" hidden="false" customHeight="false" outlineLevel="0" collapsed="false">
      <c r="A30" s="11" t="s">
        <v>236</v>
      </c>
      <c r="B30" s="2"/>
      <c r="C30" s="37" t="n">
        <f aca="false">Assumptions!$C$56*12*Assumptions!$F$10*C8</f>
        <v>150</v>
      </c>
      <c r="D30" s="37" t="n">
        <f aca="false">Assumptions!$C$56*12*Assumptions!$F$10*D8</f>
        <v>291</v>
      </c>
      <c r="E30" s="37" t="n">
        <f aca="false">Assumptions!$C$56*12*Assumptions!$F$10*E8</f>
        <v>285</v>
      </c>
      <c r="F30" s="37" t="n">
        <f aca="false">Assumptions!$C$56*12*Assumptions!$F$10*F8</f>
        <v>282</v>
      </c>
      <c r="G30" s="37" t="n">
        <f aca="false">Assumptions!$C$56*12*Assumptions!$F$10*G8</f>
        <v>279</v>
      </c>
      <c r="H30" s="2"/>
    </row>
    <row r="31" customFormat="false" ht="15" hidden="false" customHeight="false" outlineLevel="0" collapsed="false">
      <c r="A31" s="11" t="s">
        <v>237</v>
      </c>
      <c r="B31" s="2"/>
      <c r="C31" s="37" t="n">
        <f aca="false">C10*Assumptions!$C$47/1000*Assumptions!$C$57*C6</f>
        <v>3.15</v>
      </c>
      <c r="D31" s="37" t="n">
        <f aca="false">D10*Assumptions!$C$47/1000*Assumptions!$C$57*D6</f>
        <v>16.296</v>
      </c>
      <c r="E31" s="37" t="n">
        <f aca="false">E10*Assumptions!$C$47/1000*Assumptions!$C$57*E6</f>
        <v>23.94</v>
      </c>
      <c r="F31" s="37" t="n">
        <f aca="false">F10*Assumptions!$C$47/1000*Assumptions!$C$57*F6</f>
        <v>29.61</v>
      </c>
      <c r="G31" s="37" t="n">
        <f aca="false">G10*Assumptions!$C$47/1000*Assumptions!$C$57*G6</f>
        <v>33.201</v>
      </c>
      <c r="H31" s="2"/>
    </row>
    <row r="32" customFormat="false" ht="15" hidden="false" customHeight="false" outlineLevel="0" collapsed="false">
      <c r="A32" s="11" t="s">
        <v>238</v>
      </c>
      <c r="B32" s="2"/>
      <c r="C32" s="37" t="n">
        <f aca="false">C26*Assumptions!$C$58+(C14+C15)*12*Assumptions!$C$59*C6</f>
        <v>27.203712</v>
      </c>
      <c r="D32" s="37" t="n">
        <f aca="false">D26*Assumptions!$C$58+(D14+D15)*12*Assumptions!$C$59*D6</f>
        <v>174.51605232</v>
      </c>
      <c r="E32" s="37" t="n">
        <f aca="false">E26*Assumptions!$C$58+(E14+E15)*12*Assumptions!$C$59*E6</f>
        <v>311.29068</v>
      </c>
      <c r="F32" s="37" t="n">
        <f aca="false">F26*Assumptions!$C$58+(F14+F15)*12*Assumptions!$C$59*F6</f>
        <v>415.700445792</v>
      </c>
      <c r="G32" s="37" t="n">
        <f aca="false">G26*Assumptions!$C$58+(G14+G15)*12*Assumptions!$C$59*G6</f>
        <v>506.664374976</v>
      </c>
      <c r="H32" s="2"/>
    </row>
    <row r="33" customFormat="false" ht="15" hidden="false" customHeight="false" outlineLevel="0" collapsed="false">
      <c r="A33" s="11" t="s">
        <v>239</v>
      </c>
      <c r="B33" s="2"/>
      <c r="C33" s="37" t="n">
        <f aca="false">0</f>
        <v>0</v>
      </c>
      <c r="D33" s="37" t="n">
        <f aca="false">Assumptions!$C$60*D7</f>
        <v>19.4</v>
      </c>
      <c r="E33" s="37" t="n">
        <f aca="false">Assumptions!$C$60*E7</f>
        <v>19</v>
      </c>
      <c r="F33" s="37" t="n">
        <f aca="false">Assumptions!$C$60*F7</f>
        <v>18.8</v>
      </c>
      <c r="G33" s="37" t="n">
        <f aca="false">Assumptions!$C$60*G7</f>
        <v>18.6</v>
      </c>
      <c r="H33" s="17" t="s">
        <v>240</v>
      </c>
    </row>
    <row r="34" customFormat="false" ht="15" hidden="false" customHeight="false" outlineLevel="0" collapsed="false">
      <c r="A34" s="4" t="s">
        <v>241</v>
      </c>
      <c r="B34" s="2"/>
      <c r="C34" s="38" t="n">
        <f aca="false">SUM(C29:C33)</f>
        <v>383.293712</v>
      </c>
      <c r="D34" s="38" t="n">
        <f aca="false">SUM(D29:D33)</f>
        <v>894.91565232</v>
      </c>
      <c r="E34" s="38" t="n">
        <f aca="false">SUM(E29:E33)</f>
        <v>1024.81668</v>
      </c>
      <c r="F34" s="38" t="n">
        <f aca="false">SUM(F29:F33)</f>
        <v>1127.637645792</v>
      </c>
      <c r="G34" s="38" t="n">
        <f aca="false">SUM(G29:G33)</f>
        <v>1214.933774976</v>
      </c>
      <c r="H34" s="2"/>
    </row>
    <row r="35" customFormat="false" ht="15" hidden="false" customHeight="false" outlineLevel="0" collapsed="false">
      <c r="A35" s="4" t="s">
        <v>242</v>
      </c>
      <c r="B35" s="2"/>
      <c r="C35" s="27" t="n">
        <f aca="false">C25-C34</f>
        <v>518.134288</v>
      </c>
      <c r="D35" s="27" t="n">
        <f aca="false">D25-D34</f>
        <v>6354.61602768</v>
      </c>
      <c r="E35" s="27" t="n">
        <f aca="false">E25-E34</f>
        <v>15191.68332</v>
      </c>
      <c r="F35" s="27" t="n">
        <f aca="false">F25-F34</f>
        <v>20872.384802208</v>
      </c>
      <c r="G35" s="27" t="n">
        <f aca="false">G25-G34</f>
        <v>25159.699569024</v>
      </c>
      <c r="H35" s="2"/>
    </row>
    <row r="36" customFormat="false" ht="15" hidden="false" customHeight="false" outlineLevel="0" collapsed="false">
      <c r="A36" s="11" t="s">
        <v>12</v>
      </c>
      <c r="B36" s="2"/>
      <c r="C36" s="34" t="n">
        <f aca="false">IF(C25=0,0,C35/C25)</f>
        <v>0.574792759932019</v>
      </c>
      <c r="D36" s="34" t="n">
        <f aca="false">IF(D25=0,0,D35/D25)</f>
        <v>0.87655538428932</v>
      </c>
      <c r="E36" s="34" t="n">
        <f aca="false">IF(E25=0,0,E35/E25)</f>
        <v>0.936804077328647</v>
      </c>
      <c r="F36" s="34" t="n">
        <f aca="false">IF(F25=0,0,F35/F25)</f>
        <v>0.948743795673058</v>
      </c>
      <c r="G36" s="34" t="n">
        <f aca="false">IF(G25=0,0,G35/G25)</f>
        <v>0.953935519818235</v>
      </c>
      <c r="H36" s="2"/>
    </row>
    <row r="37" customFormat="false" ht="15" hidden="false" customHeight="false" outlineLevel="0" collapsed="false">
      <c r="A37" s="15" t="s">
        <v>243</v>
      </c>
      <c r="B37" s="16"/>
      <c r="C37" s="16"/>
      <c r="D37" s="16"/>
      <c r="E37" s="16"/>
      <c r="F37" s="16"/>
      <c r="G37" s="16"/>
      <c r="H37" s="16"/>
    </row>
    <row r="38" customFormat="false" ht="15" hidden="false" customHeight="false" outlineLevel="0" collapsed="false">
      <c r="A38" s="11" t="s">
        <v>244</v>
      </c>
      <c r="B38" s="2"/>
      <c r="C38" s="37" t="n">
        <f aca="false">Assumptions!$C$78*(1+Assumptions!$C$68)/Assumptions!$C$71*C8</f>
        <v>1093.75</v>
      </c>
      <c r="D38" s="37" t="n">
        <f aca="false">Assumptions!$C$78*(1+Assumptions!$C$68)/Assumptions!$C$71*D8</f>
        <v>2121.875</v>
      </c>
      <c r="E38" s="37" t="n">
        <f aca="false">Assumptions!$C$78*(1+Assumptions!$C$68)/Assumptions!$C$71*E8</f>
        <v>2078.125</v>
      </c>
      <c r="F38" s="37" t="n">
        <f aca="false">Assumptions!$C$78*(1+Assumptions!$C$68)/Assumptions!$C$71*F8</f>
        <v>2056.25</v>
      </c>
      <c r="G38" s="37" t="n">
        <f aca="false">Assumptions!$C$78*(1+Assumptions!$C$68)/Assumptions!$C$71*G8</f>
        <v>2034.375</v>
      </c>
      <c r="H38" s="2"/>
    </row>
    <row r="39" customFormat="false" ht="15" hidden="false" customHeight="false" outlineLevel="0" collapsed="false">
      <c r="A39" s="11" t="s">
        <v>245</v>
      </c>
      <c r="B39" s="2"/>
      <c r="C39" s="37" t="n">
        <f aca="false">Assumptions!$C$79*(1+Assumptions!$C$68)/Assumptions!$C$72*C8+C27*Assumptions!$C$70</f>
        <v>1384.61666666667</v>
      </c>
      <c r="D39" s="37" t="n">
        <f aca="false">Assumptions!$C$79*(1+Assumptions!$C$68)/Assumptions!$C$72*D8+D27*Assumptions!$C$70</f>
        <v>2960.49949333333</v>
      </c>
      <c r="E39" s="37" t="n">
        <f aca="false">Assumptions!$C$79*(1+Assumptions!$C$68)/Assumptions!$C$72*E8+E27*Assumptions!$C$70</f>
        <v>3253.61066666667</v>
      </c>
      <c r="F39" s="37" t="n">
        <f aca="false">Assumptions!$C$79*(1+Assumptions!$C$68)/Assumptions!$C$72*F8+F27*Assumptions!$C$70</f>
        <v>3521.42361333333</v>
      </c>
      <c r="G39" s="37" t="n">
        <f aca="false">Assumptions!$C$79*(1+Assumptions!$C$68)/Assumptions!$C$72*G8+G27*Assumptions!$C$70</f>
        <v>3679.6132</v>
      </c>
      <c r="H39" s="2"/>
    </row>
    <row r="40" customFormat="false" ht="15" hidden="false" customHeight="false" outlineLevel="0" collapsed="false">
      <c r="A40" s="11" t="s">
        <v>246</v>
      </c>
      <c r="B40" s="2"/>
      <c r="C40" s="37" t="n">
        <f aca="false">Assumptions!$C$80*(1+Assumptions!$C$68)/Assumptions!$C$73*C8</f>
        <v>286.458333333333</v>
      </c>
      <c r="D40" s="37" t="n">
        <f aca="false">Assumptions!$C$80*(1+Assumptions!$C$68)/Assumptions!$C$73*D8</f>
        <v>555.729166666667</v>
      </c>
      <c r="E40" s="37" t="n">
        <f aca="false">Assumptions!$C$80*(1+Assumptions!$C$68)/Assumptions!$C$73*E8</f>
        <v>544.270833333333</v>
      </c>
      <c r="F40" s="37" t="n">
        <f aca="false">Assumptions!$C$80*(1+Assumptions!$C$68)/Assumptions!$C$73*F8</f>
        <v>538.541666666667</v>
      </c>
      <c r="G40" s="37" t="n">
        <f aca="false">Assumptions!$C$80*(1+Assumptions!$C$68)/Assumptions!$C$73*G8</f>
        <v>532.8125</v>
      </c>
      <c r="H40" s="2"/>
    </row>
    <row r="41" customFormat="false" ht="15" hidden="false" customHeight="false" outlineLevel="0" collapsed="false">
      <c r="A41" s="11" t="s">
        <v>247</v>
      </c>
      <c r="B41" s="2"/>
      <c r="C41" s="37" t="n">
        <f aca="false">C11*Assumptions!$C$65*Assumptions!$C$64</f>
        <v>168</v>
      </c>
      <c r="D41" s="37" t="n">
        <f aca="false">D11*Assumptions!$C$65*Assumptions!$C$64</f>
        <v>266.56</v>
      </c>
      <c r="E41" s="37" t="n">
        <f aca="false">E11*Assumptions!$C$65*Assumptions!$C$64</f>
        <v>203.84</v>
      </c>
      <c r="F41" s="37" t="n">
        <f aca="false">F11*Assumptions!$C$65*Assumptions!$C$64</f>
        <v>151.2</v>
      </c>
      <c r="G41" s="37" t="n">
        <f aca="false">G11*Assumptions!$C$65*Assumptions!$C$64</f>
        <v>95.7600000000001</v>
      </c>
      <c r="H41" s="2"/>
    </row>
    <row r="42" customFormat="false" ht="15" hidden="false" customHeight="false" outlineLevel="0" collapsed="false">
      <c r="A42" s="4" t="s">
        <v>248</v>
      </c>
      <c r="B42" s="2"/>
      <c r="C42" s="38" t="n">
        <f aca="false">C35-SUM(C38:C41)</f>
        <v>-2414.690712</v>
      </c>
      <c r="D42" s="38" t="n">
        <f aca="false">D35-SUM(D38:D41)</f>
        <v>449.952367679998</v>
      </c>
      <c r="E42" s="38" t="n">
        <f aca="false">E35-SUM(E38:E41)</f>
        <v>9111.83682</v>
      </c>
      <c r="F42" s="38" t="n">
        <f aca="false">F35-SUM(F38:F41)</f>
        <v>14604.969522208</v>
      </c>
      <c r="G42" s="38" t="n">
        <f aca="false">G35-SUM(G38:G41)</f>
        <v>18817.138869024</v>
      </c>
      <c r="H42" s="2"/>
    </row>
    <row r="43" customFormat="false" ht="15" hidden="false" customHeight="false" outlineLevel="0" collapsed="false">
      <c r="A43" s="11" t="s">
        <v>249</v>
      </c>
      <c r="B43" s="2"/>
      <c r="C43" s="34" t="n">
        <f aca="false">IF(C25=0,0,C42/C25)</f>
        <v>-2.67873941346397</v>
      </c>
      <c r="D43" s="34" t="n">
        <f aca="false">IF(D25=0,0,D42/D25)</f>
        <v>0.0620664047749907</v>
      </c>
      <c r="E43" s="34" t="n">
        <f aca="false">IF(E25=0,0,E42/E25)</f>
        <v>0.56188677088151</v>
      </c>
      <c r="F43" s="34" t="n">
        <f aca="false">IF(F25=0,0,F42/F25)</f>
        <v>0.663861573629245</v>
      </c>
      <c r="G43" s="34" t="n">
        <f aca="false">IF(G25=0,0,G42/G25)</f>
        <v>0.713455941684389</v>
      </c>
      <c r="H43" s="2"/>
    </row>
    <row r="44" customFormat="false" ht="15" hidden="false" customHeight="false" outlineLevel="0" collapsed="false">
      <c r="A44" s="11" t="s">
        <v>250</v>
      </c>
      <c r="B44" s="2"/>
      <c r="C44" s="37" t="n">
        <f aca="false">(Assumptions!$C$61+Assumptions!$C$62+Assumptions!$C$63)*Assumptions!$F$10</f>
        <v>1540</v>
      </c>
      <c r="D44" s="37" t="n">
        <f aca="false">0</f>
        <v>0</v>
      </c>
      <c r="E44" s="37" t="n">
        <f aca="false">0</f>
        <v>0</v>
      </c>
      <c r="F44" s="37" t="n">
        <f aca="false">0</f>
        <v>0</v>
      </c>
      <c r="G44" s="37" t="n">
        <f aca="false">0</f>
        <v>0</v>
      </c>
      <c r="H44" s="2"/>
    </row>
    <row r="45" customFormat="false" ht="15" hidden="false" customHeight="false" outlineLevel="0" collapsed="false">
      <c r="A45" s="4" t="s">
        <v>251</v>
      </c>
      <c r="B45" s="2"/>
      <c r="C45" s="27" t="n">
        <f aca="false">C42-C44</f>
        <v>-3954.690712</v>
      </c>
      <c r="D45" s="27" t="n">
        <f aca="false">C45+D42-D44</f>
        <v>-3504.73834432</v>
      </c>
      <c r="E45" s="27" t="n">
        <f aca="false">D45+E42-E44</f>
        <v>5607.09847568</v>
      </c>
      <c r="F45" s="27" t="n">
        <f aca="false">E45+F42-F44</f>
        <v>20212.067997888</v>
      </c>
      <c r="G45" s="27" t="n">
        <f aca="false">F45+G42-G44</f>
        <v>39029.206866912</v>
      </c>
      <c r="H45" s="17" t="s">
        <v>252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17" t="s">
        <v>253</v>
      </c>
      <c r="B47" s="2"/>
      <c r="C47" s="2"/>
      <c r="D47" s="2"/>
      <c r="E47" s="2"/>
      <c r="F47" s="2"/>
      <c r="G47" s="2"/>
      <c r="H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254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255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2" t="s">
        <v>222</v>
      </c>
      <c r="B5" s="2"/>
      <c r="C5" s="37" t="n">
        <f aca="false">Rollout!$C$5*'Unit Economics'!$C$19</f>
        <v>5873.28</v>
      </c>
      <c r="D5" s="37" t="n">
        <f aca="false">Rollout!$C$5*'Unit Economics'!$D$19+Rollout!$D$5*'Unit Economics'!$C$19</f>
        <v>57675.6096</v>
      </c>
      <c r="E5" s="37" t="n">
        <f aca="false">Rollout!$C$5*'Unit Economics'!$E$19+Rollout!$D$5*'Unit Economics'!$D$19+Rollout!$E$5*'Unit Economics'!$C$19</f>
        <v>251258.9184</v>
      </c>
      <c r="F5" s="37" t="n">
        <f aca="false">Rollout!$C$5*'Unit Economics'!$F$19+Rollout!$D$5*'Unit Economics'!$E$19+Rollout!$E$5*'Unit Economics'!$D$19+Rollout!$F$5*'Unit Economics'!$C$19</f>
        <v>753142.44096</v>
      </c>
      <c r="G5" s="37" t="n">
        <f aca="false">Rollout!$C$5*'Unit Economics'!$G$19+Rollout!$D$5*'Unit Economics'!$F$19+Rollout!$E$5*'Unit Economics'!$E$19+Rollout!$F$5*'Unit Economics'!$D$19+Rollout!$G$5*'Unit Economics'!$C$19</f>
        <v>1812870.09792</v>
      </c>
      <c r="H5" s="2"/>
    </row>
    <row r="6" customFormat="false" ht="15" hidden="false" customHeight="false" outlineLevel="0" collapsed="false">
      <c r="A6" s="2" t="s">
        <v>224</v>
      </c>
      <c r="B6" s="2"/>
      <c r="C6" s="37" t="n">
        <f aca="false">Rollout!$C$5*'Unit Economics'!$C$20</f>
        <v>6065.28</v>
      </c>
      <c r="D6" s="37" t="n">
        <f aca="false">Rollout!$C$5*'Unit Economics'!$D$20+Rollout!$D$5*'Unit Economics'!$C$20</f>
        <v>68386.032</v>
      </c>
      <c r="E6" s="37" t="n">
        <f aca="false">Rollout!$C$5*'Unit Economics'!$E$20+Rollout!$D$5*'Unit Economics'!$D$20+Rollout!$E$5*'Unit Economics'!$C$20</f>
        <v>323582.688</v>
      </c>
      <c r="F6" s="37" t="n">
        <f aca="false">Rollout!$C$5*'Unit Economics'!$F$20+Rollout!$D$5*'Unit Economics'!$E$20+Rollout!$E$5*'Unit Economics'!$D$20+Rollout!$F$5*'Unit Economics'!$C$20</f>
        <v>1029429.648</v>
      </c>
      <c r="G6" s="37" t="n">
        <f aca="false">Rollout!$C$5*'Unit Economics'!$G$20+Rollout!$D$5*'Unit Economics'!$F$20+Rollout!$E$5*'Unit Economics'!$E$20+Rollout!$F$5*'Unit Economics'!$D$20+Rollout!$G$5*'Unit Economics'!$C$20</f>
        <v>2596000.4928</v>
      </c>
      <c r="H6" s="2"/>
    </row>
    <row r="7" customFormat="false" ht="15" hidden="false" customHeight="false" outlineLevel="0" collapsed="false">
      <c r="A7" s="2" t="s">
        <v>225</v>
      </c>
      <c r="B7" s="2"/>
      <c r="C7" s="37" t="n">
        <f aca="false">Rollout!$C$5*'Unit Economics'!$C$21</f>
        <v>0</v>
      </c>
      <c r="D7" s="37" t="n">
        <f aca="false">Rollout!$C$5*'Unit Economics'!$D$21+Rollout!$D$5*'Unit Economics'!$C$21</f>
        <v>12906.432</v>
      </c>
      <c r="E7" s="37" t="n">
        <f aca="false">Rollout!$C$5*'Unit Economics'!$E$21+Rollout!$D$5*'Unit Economics'!$D$21+Rollout!$E$5*'Unit Economics'!$C$21</f>
        <v>83226.528</v>
      </c>
      <c r="F7" s="37" t="n">
        <f aca="false">Rollout!$C$5*'Unit Economics'!$F$21+Rollout!$D$5*'Unit Economics'!$E$21+Rollout!$E$5*'Unit Economics'!$D$21+Rollout!$F$5*'Unit Economics'!$C$21</f>
        <v>305496.576</v>
      </c>
      <c r="G7" s="37" t="n">
        <f aca="false">Rollout!$C$5*'Unit Economics'!$G$21+Rollout!$D$5*'Unit Economics'!$F$21+Rollout!$E$5*'Unit Economics'!$E$21+Rollout!$F$5*'Unit Economics'!$D$21+Rollout!$G$5*'Unit Economics'!$C$21</f>
        <v>836123.904</v>
      </c>
      <c r="H7" s="2"/>
    </row>
    <row r="8" customFormat="false" ht="15" hidden="false" customHeight="false" outlineLevel="0" collapsed="false">
      <c r="A8" s="2" t="s">
        <v>226</v>
      </c>
      <c r="B8" s="2"/>
      <c r="C8" s="37" t="n">
        <f aca="false">Rollout!$C$5*'Unit Economics'!$C$22</f>
        <v>1890</v>
      </c>
      <c r="D8" s="37" t="n">
        <f aca="false">Rollout!$C$5*'Unit Economics'!$D$22+Rollout!$D$5*'Unit Economics'!$C$22</f>
        <v>36892.8</v>
      </c>
      <c r="E8" s="37" t="n">
        <f aca="false">Rollout!$C$5*'Unit Economics'!$E$22+Rollout!$D$5*'Unit Economics'!$D$22+Rollout!$E$5*'Unit Economics'!$C$22</f>
        <v>200869.2</v>
      </c>
      <c r="F8" s="37" t="n">
        <f aca="false">Rollout!$C$5*'Unit Economics'!$F$22+Rollout!$D$5*'Unit Economics'!$E$22+Rollout!$E$5*'Unit Economics'!$D$22+Rollout!$F$5*'Unit Economics'!$C$22</f>
        <v>687393</v>
      </c>
      <c r="G8" s="37" t="n">
        <f aca="false">Rollout!$C$5*'Unit Economics'!$G$22+Rollout!$D$5*'Unit Economics'!$F$22+Rollout!$E$5*'Unit Economics'!$E$22+Rollout!$F$5*'Unit Economics'!$D$22+Rollout!$G$5*'Unit Economics'!$C$22</f>
        <v>1809561.6</v>
      </c>
      <c r="H8" s="2"/>
    </row>
    <row r="9" customFormat="false" ht="15" hidden="false" customHeight="false" outlineLevel="0" collapsed="false">
      <c r="A9" s="2" t="s">
        <v>256</v>
      </c>
      <c r="B9" s="2"/>
      <c r="C9" s="37" t="n">
        <f aca="false">Rollout!$C$5*'Unit Economics'!$C$23</f>
        <v>4200</v>
      </c>
      <c r="D9" s="37" t="n">
        <f aca="false">Rollout!$C$5*'Unit Economics'!$D$23+Rollout!$D$5*'Unit Economics'!$C$23</f>
        <v>41244</v>
      </c>
      <c r="E9" s="37" t="n">
        <f aca="false">Rollout!$C$5*'Unit Economics'!$E$23+Rollout!$D$5*'Unit Economics'!$D$23+Rollout!$E$5*'Unit Economics'!$C$23</f>
        <v>179676</v>
      </c>
      <c r="F9" s="37" t="n">
        <f aca="false">Rollout!$C$5*'Unit Economics'!$F$23+Rollout!$D$5*'Unit Economics'!$E$23+Rollout!$E$5*'Unit Economics'!$D$23+Rollout!$F$5*'Unit Economics'!$C$23</f>
        <v>535416</v>
      </c>
      <c r="G9" s="37" t="n">
        <f aca="false">Rollout!$C$5*'Unit Economics'!$G$23+Rollout!$D$5*'Unit Economics'!$F$23+Rollout!$E$5*'Unit Economics'!$E$23+Rollout!$F$5*'Unit Economics'!$D$23+Rollout!$G$5*'Unit Economics'!$C$23</f>
        <v>1275162</v>
      </c>
      <c r="H9" s="2"/>
    </row>
    <row r="10" customFormat="false" ht="15" hidden="false" customHeight="false" outlineLevel="0" collapsed="false">
      <c r="A10" s="2" t="s">
        <v>229</v>
      </c>
      <c r="B10" s="2"/>
      <c r="C10" s="37" t="n">
        <f aca="false">Rollout!$C$5*'Unit Economics'!$C$24</f>
        <v>0</v>
      </c>
      <c r="D10" s="37" t="n">
        <f aca="false">Rollout!$C$5*'Unit Economics'!$D$24+Rollout!$D$5*'Unit Economics'!$C$24</f>
        <v>0</v>
      </c>
      <c r="E10" s="37" t="n">
        <f aca="false">Rollout!$C$5*'Unit Economics'!$E$24+Rollout!$D$5*'Unit Economics'!$D$24+Rollout!$E$5*'Unit Economics'!$C$24</f>
        <v>45964.8</v>
      </c>
      <c r="F10" s="37" t="n">
        <f aca="false">Rollout!$C$5*'Unit Economics'!$F$24+Rollout!$D$5*'Unit Economics'!$E$24+Rollout!$E$5*'Unit Economics'!$D$24+Rollout!$F$5*'Unit Economics'!$C$24</f>
        <v>236920.32</v>
      </c>
      <c r="G10" s="37" t="n">
        <f aca="false">Rollout!$C$5*'Unit Economics'!$G$24+Rollout!$D$5*'Unit Economics'!$F$24+Rollout!$E$5*'Unit Economics'!$E$24+Rollout!$F$5*'Unit Economics'!$D$24+Rollout!$G$5*'Unit Economics'!$C$24</f>
        <v>731888.64</v>
      </c>
      <c r="H10" s="2"/>
    </row>
    <row r="11" customFormat="false" ht="15" hidden="false" customHeight="false" outlineLevel="0" collapsed="false">
      <c r="A11" s="4" t="s">
        <v>257</v>
      </c>
      <c r="B11" s="2"/>
      <c r="C11" s="38" t="n">
        <f aca="false">SUM(C5:C10)</f>
        <v>18028.56</v>
      </c>
      <c r="D11" s="38" t="n">
        <f aca="false">SUM(D5:D10)</f>
        <v>217104.8736</v>
      </c>
      <c r="E11" s="38" t="n">
        <f aca="false">SUM(E5:E10)</f>
        <v>1084578.1344</v>
      </c>
      <c r="F11" s="38" t="n">
        <f aca="false">SUM(F5:F10)</f>
        <v>3547797.98496</v>
      </c>
      <c r="G11" s="38" t="n">
        <f aca="false">SUM(G5:G10)</f>
        <v>9061606.73472</v>
      </c>
      <c r="H11" s="2"/>
    </row>
    <row r="12" customFormat="false" ht="15" hidden="false" customHeight="false" outlineLevel="0" collapsed="false">
      <c r="A12" s="2" t="s">
        <v>258</v>
      </c>
      <c r="B12" s="2"/>
      <c r="C12" s="34" t="n">
        <f aca="false">0</f>
        <v>0</v>
      </c>
      <c r="D12" s="34" t="n">
        <f aca="false">IF(C11=0,0,D11/C11-1)</f>
        <v>11.0422747906655</v>
      </c>
      <c r="E12" s="34" t="n">
        <f aca="false">IF(D11=0,0,E11/D11-1)</f>
        <v>3.99564158287048</v>
      </c>
      <c r="F12" s="34" t="n">
        <f aca="false">IF(E11=0,0,F11/E11-1)</f>
        <v>2.27113176306351</v>
      </c>
      <c r="G12" s="34" t="n">
        <f aca="false">IF(F11=0,0,G11/F11-1)</f>
        <v>1.5541495804255</v>
      </c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">
        <v>259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260</v>
      </c>
      <c r="B15" s="2"/>
      <c r="C15" s="34" t="n">
        <f aca="false">IF(C$11=0,0,C5/C$11)</f>
        <v>0.325776434723572</v>
      </c>
      <c r="D15" s="34" t="n">
        <f aca="false">IF(D$11=0,0,D5/D$11)</f>
        <v>0.265657829986181</v>
      </c>
      <c r="E15" s="34" t="n">
        <f aca="false">IF(E$11=0,0,E5/E$11)</f>
        <v>0.231665115154658</v>
      </c>
      <c r="F15" s="34" t="n">
        <f aca="false">IF(F$11=0,0,F5/F$11)</f>
        <v>0.212284477344189</v>
      </c>
      <c r="G15" s="34" t="n">
        <f aca="false">IF(G$11=0,0,G5/G$11)</f>
        <v>0.200060557800848</v>
      </c>
      <c r="H15" s="2"/>
    </row>
    <row r="16" customFormat="false" ht="15" hidden="false" customHeight="false" outlineLevel="0" collapsed="false">
      <c r="A16" s="2" t="s">
        <v>224</v>
      </c>
      <c r="B16" s="2"/>
      <c r="C16" s="34" t="n">
        <f aca="false">IF(C$11=0,0,C6/C$11)</f>
        <v>0.336426203756706</v>
      </c>
      <c r="D16" s="34" t="n">
        <f aca="false">IF(D$11=0,0,D6/D$11)</f>
        <v>0.314990773196535</v>
      </c>
      <c r="E16" s="34" t="n">
        <f aca="false">IF(E$11=0,0,E6/E$11)</f>
        <v>0.298348895055873</v>
      </c>
      <c r="F16" s="34" t="n">
        <f aca="false">IF(F$11=0,0,F6/F$11)</f>
        <v>0.290160164801944</v>
      </c>
      <c r="G16" s="34" t="n">
        <f aca="false">IF(G$11=0,0,G6/G$11)</f>
        <v>0.286483464665631</v>
      </c>
      <c r="H16" s="2"/>
    </row>
    <row r="17" customFormat="false" ht="15" hidden="false" customHeight="false" outlineLevel="0" collapsed="false">
      <c r="A17" s="2" t="s">
        <v>225</v>
      </c>
      <c r="B17" s="2"/>
      <c r="C17" s="34" t="n">
        <f aca="false">IF(C$11=0,0,C7/C$11)</f>
        <v>0</v>
      </c>
      <c r="D17" s="34" t="n">
        <f aca="false">IF(D$11=0,0,D7/D$11)</f>
        <v>0.0594479146690146</v>
      </c>
      <c r="E17" s="34" t="n">
        <f aca="false">IF(E$11=0,0,E7/E$11)</f>
        <v>0.076736313742893</v>
      </c>
      <c r="F17" s="34" t="n">
        <f aca="false">IF(F$11=0,0,F7/F$11)</f>
        <v>0.0861087855889981</v>
      </c>
      <c r="G17" s="34" t="n">
        <f aca="false">IF(G$11=0,0,G7/G$11)</f>
        <v>0.092271042926234</v>
      </c>
      <c r="H17" s="2"/>
    </row>
    <row r="18" customFormat="false" ht="15" hidden="false" customHeight="false" outlineLevel="0" collapsed="false">
      <c r="A18" s="2" t="s">
        <v>261</v>
      </c>
      <c r="B18" s="2"/>
      <c r="C18" s="34" t="n">
        <f aca="false">IF(C$11=0,0,C8/C$11)</f>
        <v>0.104833663919914</v>
      </c>
      <c r="D18" s="34" t="n">
        <f aca="false">IF(D$11=0,0,D8/D$11)</f>
        <v>0.169930777638701</v>
      </c>
      <c r="E18" s="34" t="n">
        <f aca="false">IF(E$11=0,0,E8/E$11)</f>
        <v>0.185204913900577</v>
      </c>
      <c r="F18" s="34" t="n">
        <f aca="false">IF(F$11=0,0,F8/F$11)</f>
        <v>0.193752012632633</v>
      </c>
      <c r="G18" s="34" t="n">
        <f aca="false">IF(G$11=0,0,G8/G$11)</f>
        <v>0.199695446180265</v>
      </c>
      <c r="H18" s="2"/>
    </row>
    <row r="19" customFormat="false" ht="15" hidden="false" customHeight="false" outlineLevel="0" collapsed="false">
      <c r="A19" s="2" t="s">
        <v>262</v>
      </c>
      <c r="B19" s="2"/>
      <c r="C19" s="34" t="n">
        <f aca="false">IF(C$11=0,0,C9/C$11)</f>
        <v>0.232963697599808</v>
      </c>
      <c r="D19" s="34" t="n">
        <f aca="false">IF(D$11=0,0,D9/D$11)</f>
        <v>0.189972704509568</v>
      </c>
      <c r="E19" s="34" t="n">
        <f aca="false">IF(E$11=0,0,E9/E$11)</f>
        <v>0.165664413011054</v>
      </c>
      <c r="F19" s="34" t="n">
        <f aca="false">IF(F$11=0,0,F9/F$11)</f>
        <v>0.150915018913073</v>
      </c>
      <c r="G19" s="34" t="n">
        <f aca="false">IF(G$11=0,0,G9/G$11)</f>
        <v>0.140721401549479</v>
      </c>
      <c r="H19" s="2"/>
    </row>
    <row r="20" customFormat="false" ht="15" hidden="false" customHeight="false" outlineLevel="0" collapsed="false">
      <c r="A20" s="2" t="s">
        <v>263</v>
      </c>
      <c r="B20" s="2"/>
      <c r="C20" s="34" t="n">
        <f aca="false">IF(C$11=0,0,C10/C$11)</f>
        <v>0</v>
      </c>
      <c r="D20" s="34" t="n">
        <f aca="false">IF(D$11=0,0,D10/D$11)</f>
        <v>0</v>
      </c>
      <c r="E20" s="34" t="n">
        <f aca="false">IF(E$11=0,0,E10/E$11)</f>
        <v>0.0423803491349457</v>
      </c>
      <c r="F20" s="34" t="n">
        <f aca="false">IF(F$11=0,0,F10/F$11)</f>
        <v>0.0667795407191628</v>
      </c>
      <c r="G20" s="34" t="n">
        <f aca="false">IF(G$11=0,0,G10/G$11)</f>
        <v>0.0807680868775437</v>
      </c>
      <c r="H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264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265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4" t="s">
        <v>266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 t="s">
        <v>165</v>
      </c>
      <c r="B6" s="2"/>
      <c r="C6" s="8" t="n">
        <f aca="false">Assumptions!C$85</f>
        <v>2</v>
      </c>
      <c r="D6" s="8" t="n">
        <f aca="false">Assumptions!D$85</f>
        <v>2</v>
      </c>
      <c r="E6" s="8" t="n">
        <f aca="false">Assumptions!E$85</f>
        <v>3</v>
      </c>
      <c r="F6" s="8" t="n">
        <f aca="false">Assumptions!F$85</f>
        <v>4</v>
      </c>
      <c r="G6" s="8" t="n">
        <f aca="false">Assumptions!G$85</f>
        <v>5</v>
      </c>
      <c r="H6" s="2"/>
    </row>
    <row r="7" customFormat="false" ht="15" hidden="false" customHeight="false" outlineLevel="0" collapsed="false">
      <c r="A7" s="2" t="s">
        <v>174</v>
      </c>
      <c r="B7" s="2"/>
      <c r="C7" s="8" t="n">
        <f aca="false">Assumptions!C$86</f>
        <v>3</v>
      </c>
      <c r="D7" s="8" t="n">
        <f aca="false">Assumptions!D$86</f>
        <v>5</v>
      </c>
      <c r="E7" s="8" t="n">
        <f aca="false">Assumptions!E$86</f>
        <v>8</v>
      </c>
      <c r="F7" s="8" t="n">
        <f aca="false">Assumptions!F$86</f>
        <v>11</v>
      </c>
      <c r="G7" s="8" t="n">
        <f aca="false">Assumptions!G$86</f>
        <v>14</v>
      </c>
      <c r="H7" s="2"/>
    </row>
    <row r="8" customFormat="false" ht="15" hidden="false" customHeight="false" outlineLevel="0" collapsed="false">
      <c r="A8" s="2" t="s">
        <v>170</v>
      </c>
      <c r="B8" s="2"/>
      <c r="C8" s="8" t="n">
        <f aca="false">Assumptions!C$87</f>
        <v>1</v>
      </c>
      <c r="D8" s="8" t="n">
        <f aca="false">Assumptions!D$87</f>
        <v>1</v>
      </c>
      <c r="E8" s="8" t="n">
        <f aca="false">Assumptions!E$87</f>
        <v>2</v>
      </c>
      <c r="F8" s="8" t="n">
        <f aca="false">Assumptions!F$87</f>
        <v>3</v>
      </c>
      <c r="G8" s="8" t="n">
        <f aca="false">Assumptions!G$87</f>
        <v>4</v>
      </c>
      <c r="H8" s="2"/>
    </row>
    <row r="9" customFormat="false" ht="15" hidden="false" customHeight="false" outlineLevel="0" collapsed="false">
      <c r="A9" s="2" t="s">
        <v>267</v>
      </c>
      <c r="B9" s="2"/>
      <c r="C9" s="33" t="n">
        <f aca="false">IF(Rollout!C$7=0,0,MAX(1,ROUNDUP(Rollout!C$7/Assumptions!$C$71,0)))</f>
        <v>1</v>
      </c>
      <c r="D9" s="33" t="n">
        <f aca="false">IF(Rollout!D$7=0,0,MAX(1,ROUNDUP(Rollout!D$7/Assumptions!$C$71,0)))</f>
        <v>3</v>
      </c>
      <c r="E9" s="33" t="n">
        <f aca="false">IF(Rollout!E$7=0,0,MAX(1,ROUNDUP(Rollout!E$7/Assumptions!$C$71,0)))</f>
        <v>8</v>
      </c>
      <c r="F9" s="33" t="n">
        <f aca="false">IF(Rollout!F$7=0,0,MAX(1,ROUNDUP(Rollout!F$7/Assumptions!$C$71,0)))</f>
        <v>18</v>
      </c>
      <c r="G9" s="33" t="n">
        <f aca="false">IF(Rollout!G$7=0,0,MAX(1,ROUNDUP(Rollout!G$7/Assumptions!$C$71,0)))</f>
        <v>35</v>
      </c>
      <c r="H9" s="2"/>
    </row>
    <row r="10" customFormat="false" ht="15" hidden="false" customHeight="false" outlineLevel="0" collapsed="false">
      <c r="A10" s="2" t="s">
        <v>268</v>
      </c>
      <c r="B10" s="2"/>
      <c r="C10" s="33" t="n">
        <f aca="false">IF(Rollout!C$7=0,0,MAX(1,ROUNDUP(Rollout!C$7/Assumptions!$C$72,0)))</f>
        <v>1</v>
      </c>
      <c r="D10" s="33" t="n">
        <f aca="false">IF(Rollout!D$7=0,0,MAX(1,ROUNDUP(Rollout!D$7/Assumptions!$C$72,0)))</f>
        <v>4</v>
      </c>
      <c r="E10" s="33" t="n">
        <f aca="false">IF(Rollout!E$7=0,0,MAX(1,ROUNDUP(Rollout!E$7/Assumptions!$C$72,0)))</f>
        <v>10</v>
      </c>
      <c r="F10" s="33" t="n">
        <f aca="false">IF(Rollout!F$7=0,0,MAX(1,ROUNDUP(Rollout!F$7/Assumptions!$C$72,0)))</f>
        <v>23</v>
      </c>
      <c r="G10" s="33" t="n">
        <f aca="false">IF(Rollout!G$7=0,0,MAX(1,ROUNDUP(Rollout!G$7/Assumptions!$C$72,0)))</f>
        <v>46</v>
      </c>
      <c r="H10" s="2"/>
    </row>
    <row r="11" customFormat="false" ht="15" hidden="false" customHeight="false" outlineLevel="0" collapsed="false">
      <c r="A11" s="2" t="s">
        <v>169</v>
      </c>
      <c r="B11" s="2"/>
      <c r="C11" s="33" t="n">
        <f aca="false">IF(Rollout!C$7=0,0,MAX(1,ROUNDUP(Rollout!C$7/Assumptions!$C$73,0)))</f>
        <v>1</v>
      </c>
      <c r="D11" s="33" t="n">
        <f aca="false">IF(Rollout!D$7=0,0,MAX(1,ROUNDUP(Rollout!D$7/Assumptions!$C$73,0)))</f>
        <v>1</v>
      </c>
      <c r="E11" s="33" t="n">
        <f aca="false">IF(Rollout!E$7=0,0,MAX(1,ROUNDUP(Rollout!E$7/Assumptions!$C$73,0)))</f>
        <v>3</v>
      </c>
      <c r="F11" s="33" t="n">
        <f aca="false">IF(Rollout!F$7=0,0,MAX(1,ROUNDUP(Rollout!F$7/Assumptions!$C$73,0)))</f>
        <v>6</v>
      </c>
      <c r="G11" s="33" t="n">
        <f aca="false">IF(Rollout!G$7=0,0,MAX(1,ROUNDUP(Rollout!G$7/Assumptions!$C$73,0)))</f>
        <v>12</v>
      </c>
      <c r="H11" s="2"/>
    </row>
    <row r="12" customFormat="false" ht="15" hidden="false" customHeight="false" outlineLevel="0" collapsed="false">
      <c r="A12" s="4" t="s">
        <v>269</v>
      </c>
      <c r="B12" s="2"/>
      <c r="C12" s="39" t="n">
        <f aca="false">SUM(C6:C11)</f>
        <v>9</v>
      </c>
      <c r="D12" s="39" t="n">
        <f aca="false">SUM(D6:D11)</f>
        <v>16</v>
      </c>
      <c r="E12" s="39" t="n">
        <f aca="false">SUM(E6:E11)</f>
        <v>34</v>
      </c>
      <c r="F12" s="39" t="n">
        <f aca="false">SUM(F6:F11)</f>
        <v>65</v>
      </c>
      <c r="G12" s="39" t="n">
        <f aca="false">SUM(G6:G11)</f>
        <v>116</v>
      </c>
      <c r="H12" s="2"/>
    </row>
    <row r="13" customFormat="false" ht="15" hidden="false" customHeight="false" outlineLevel="0" collapsed="false">
      <c r="A13" s="2" t="s">
        <v>270</v>
      </c>
      <c r="B13" s="2"/>
      <c r="C13" s="33" t="n">
        <f aca="false">C12</f>
        <v>9</v>
      </c>
      <c r="D13" s="33" t="n">
        <f aca="false">MAX(0,D12-C12)</f>
        <v>7</v>
      </c>
      <c r="E13" s="33" t="n">
        <f aca="false">MAX(0,E12-D12)</f>
        <v>18</v>
      </c>
      <c r="F13" s="33" t="n">
        <f aca="false">MAX(0,F12-E12)</f>
        <v>31</v>
      </c>
      <c r="G13" s="33" t="n">
        <f aca="false">MAX(0,G12-F12)</f>
        <v>51</v>
      </c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4" t="s">
        <v>271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165</v>
      </c>
      <c r="B16" s="2"/>
      <c r="C16" s="37" t="n">
        <f aca="false">C6*0.75*Assumptions!$C$76*(1+Assumptions!$C$68)*(1+Assumptions!$C$69)^0</f>
        <v>300000</v>
      </c>
      <c r="D16" s="37" t="n">
        <f aca="false">(C6+D6)/2*Assumptions!$C$76*(1+Assumptions!$C$68)*(1+Assumptions!$C$69)^1</f>
        <v>412000</v>
      </c>
      <c r="E16" s="37" t="n">
        <f aca="false">(D6+E6)/2*Assumptions!$C$76*(1+Assumptions!$C$68)*(1+Assumptions!$C$69)^2</f>
        <v>530450</v>
      </c>
      <c r="F16" s="37" t="n">
        <f aca="false">(E6+F6)/2*Assumptions!$C$76*(1+Assumptions!$C$68)*(1+Assumptions!$C$69)^3</f>
        <v>764908.9</v>
      </c>
      <c r="G16" s="37" t="n">
        <f aca="false">(F6+G6)/2*Assumptions!$C$76*(1+Assumptions!$C$68)*(1+Assumptions!$C$69)^4</f>
        <v>1012957.929</v>
      </c>
      <c r="H16" s="2"/>
    </row>
    <row r="17" customFormat="false" ht="15" hidden="false" customHeight="false" outlineLevel="0" collapsed="false">
      <c r="A17" s="2" t="s">
        <v>174</v>
      </c>
      <c r="B17" s="2"/>
      <c r="C17" s="37" t="n">
        <f aca="false">C7*0.75*Assumptions!$C$77*(1+Assumptions!$C$68)*(1+Assumptions!$C$69)^0</f>
        <v>478125</v>
      </c>
      <c r="D17" s="37" t="n">
        <f aca="false">(C7+D7)/2*Assumptions!$C$77*(1+Assumptions!$C$68)*(1+Assumptions!$C$69)^1</f>
        <v>875500</v>
      </c>
      <c r="E17" s="37" t="n">
        <f aca="false">(D7+E7)/2*Assumptions!$C$77*(1+Assumptions!$C$68)*(1+Assumptions!$C$69)^2</f>
        <v>1465368.125</v>
      </c>
      <c r="F17" s="37" t="n">
        <f aca="false">(E7+F7)/2*Assumptions!$C$77*(1+Assumptions!$C$68)*(1+Assumptions!$C$69)^3</f>
        <v>2205942.63125</v>
      </c>
      <c r="G17" s="37" t="n">
        <f aca="false">(F7+G7)/2*Assumptions!$C$77*(1+Assumptions!$C$68)*(1+Assumptions!$C$69)^4</f>
        <v>2989632.7765625</v>
      </c>
      <c r="H17" s="2"/>
    </row>
    <row r="18" customFormat="false" ht="15" hidden="false" customHeight="false" outlineLevel="0" collapsed="false">
      <c r="A18" s="2" t="s">
        <v>170</v>
      </c>
      <c r="B18" s="2"/>
      <c r="C18" s="37" t="n">
        <f aca="false">C8*0.75*Assumptions!$C$81*(1+Assumptions!$C$68)*(1+Assumptions!$C$69)^0</f>
        <v>103125</v>
      </c>
      <c r="D18" s="37" t="n">
        <f aca="false">(C8+D8)/2*Assumptions!$C$81*(1+Assumptions!$C$68)*(1+Assumptions!$C$69)^1</f>
        <v>141625</v>
      </c>
      <c r="E18" s="37" t="n">
        <f aca="false">(D8+E8)/2*Assumptions!$C$81*(1+Assumptions!$C$68)*(1+Assumptions!$C$69)^2</f>
        <v>218810.625</v>
      </c>
      <c r="F18" s="37" t="n">
        <f aca="false">(E8+F8)/2*Assumptions!$C$81*(1+Assumptions!$C$68)*(1+Assumptions!$C$69)^3</f>
        <v>375624.90625</v>
      </c>
      <c r="G18" s="37" t="n">
        <f aca="false">(F8+G8)/2*Assumptions!$C$81*(1+Assumptions!$C$68)*(1+Assumptions!$C$69)^4</f>
        <v>541651.1148125</v>
      </c>
      <c r="H18" s="2"/>
    </row>
    <row r="19" customFormat="false" ht="15" hidden="false" customHeight="false" outlineLevel="0" collapsed="false">
      <c r="A19" s="2" t="s">
        <v>267</v>
      </c>
      <c r="B19" s="2"/>
      <c r="C19" s="37" t="n">
        <f aca="false">C9*0.75*Assumptions!$C$78*(1+Assumptions!$C$68)*(1+Assumptions!$C$69)^0</f>
        <v>65625</v>
      </c>
      <c r="D19" s="37" t="n">
        <f aca="false">(C9+D9)/2*Assumptions!$C$78*(1+Assumptions!$C$68)*(1+Assumptions!$C$69)^1</f>
        <v>180250</v>
      </c>
      <c r="E19" s="37" t="n">
        <f aca="false">(D9+E9)/2*Assumptions!$C$78*(1+Assumptions!$C$68)*(1+Assumptions!$C$69)^2</f>
        <v>510558.125</v>
      </c>
      <c r="F19" s="37" t="n">
        <f aca="false">(E9+F9)/2*Assumptions!$C$78*(1+Assumptions!$C$68)*(1+Assumptions!$C$69)^3</f>
        <v>1242976.9625</v>
      </c>
      <c r="G19" s="37" t="n">
        <f aca="false">(F9+G9)/2*Assumptions!$C$78*(1+Assumptions!$C$68)*(1+Assumptions!$C$69)^4</f>
        <v>2609773.5531875</v>
      </c>
      <c r="H19" s="2"/>
    </row>
    <row r="20" customFormat="false" ht="15" hidden="false" customHeight="false" outlineLevel="0" collapsed="false">
      <c r="A20" s="2" t="s">
        <v>268</v>
      </c>
      <c r="B20" s="2"/>
      <c r="C20" s="37" t="n">
        <f aca="false">C10*0.75*Assumptions!$C$79*(1+Assumptions!$C$68)*(1+Assumptions!$C$69)^0</f>
        <v>60937.5</v>
      </c>
      <c r="D20" s="37" t="n">
        <f aca="false">(C10+D10)/2*Assumptions!$C$79*(1+Assumptions!$C$68)*(1+Assumptions!$C$69)^1</f>
        <v>209218.75</v>
      </c>
      <c r="E20" s="37" t="n">
        <f aca="false">(D10+E10)/2*Assumptions!$C$79*(1+Assumptions!$C$68)*(1+Assumptions!$C$69)^2</f>
        <v>603386.875</v>
      </c>
      <c r="F20" s="37" t="n">
        <f aca="false">(E10+F10)/2*Assumptions!$C$79*(1+Assumptions!$C$68)*(1+Assumptions!$C$69)^3</f>
        <v>1464937.134375</v>
      </c>
      <c r="G20" s="37" t="n">
        <f aca="false">(F10+G10)/2*Assumptions!$C$79*(1+Assumptions!$C$68)*(1+Assumptions!$C$69)^4</f>
        <v>3154941.88303125</v>
      </c>
      <c r="H20" s="2"/>
    </row>
    <row r="21" customFormat="false" ht="15" hidden="false" customHeight="false" outlineLevel="0" collapsed="false">
      <c r="A21" s="2" t="s">
        <v>169</v>
      </c>
      <c r="B21" s="2"/>
      <c r="C21" s="37" t="n">
        <f aca="false">C11*0.75*Assumptions!$C$80*(1+Assumptions!$C$68)*(1+Assumptions!$C$69)^0</f>
        <v>51562.5</v>
      </c>
      <c r="D21" s="37" t="n">
        <f aca="false">(C11+D11)/2*Assumptions!$C$80*(1+Assumptions!$C$68)*(1+Assumptions!$C$69)^1</f>
        <v>70812.5</v>
      </c>
      <c r="E21" s="37" t="n">
        <f aca="false">(D11+E11)/2*Assumptions!$C$80*(1+Assumptions!$C$68)*(1+Assumptions!$C$69)^2</f>
        <v>145873.75</v>
      </c>
      <c r="F21" s="37" t="n">
        <f aca="false">(E11+F11)/2*Assumptions!$C$80*(1+Assumptions!$C$68)*(1+Assumptions!$C$69)^3</f>
        <v>338062.415625</v>
      </c>
      <c r="G21" s="37" t="n">
        <f aca="false">(F11+G11)/2*Assumptions!$C$80*(1+Assumptions!$C$68)*(1+Assumptions!$C$69)^4</f>
        <v>696408.5761875</v>
      </c>
      <c r="H21" s="2"/>
    </row>
    <row r="22" customFormat="false" ht="15" hidden="false" customHeight="false" outlineLevel="0" collapsed="false">
      <c r="A22" s="4" t="s">
        <v>272</v>
      </c>
      <c r="B22" s="2"/>
      <c r="C22" s="38" t="n">
        <f aca="false">SUM(C16:C21)</f>
        <v>1059375</v>
      </c>
      <c r="D22" s="38" t="n">
        <f aca="false">SUM(D16:D21)</f>
        <v>1889406.25</v>
      </c>
      <c r="E22" s="38" t="n">
        <f aca="false">SUM(E16:E21)</f>
        <v>3474447.5</v>
      </c>
      <c r="F22" s="38" t="n">
        <f aca="false">SUM(F16:F21)</f>
        <v>6392452.95</v>
      </c>
      <c r="G22" s="38" t="n">
        <f aca="false">SUM(G16:G21)</f>
        <v>11005365.8327813</v>
      </c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17" t="s">
        <v>273</v>
      </c>
      <c r="B24" s="2"/>
      <c r="C24" s="2"/>
      <c r="D24" s="2"/>
      <c r="E24" s="2"/>
      <c r="F24" s="2"/>
      <c r="G24" s="2"/>
      <c r="H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274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275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15" t="s">
        <v>276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11" t="s">
        <v>234</v>
      </c>
      <c r="B6" s="2"/>
      <c r="C6" s="37" t="n">
        <f aca="false">Rollout!$C$5*'Unit Economics'!$C$29</f>
        <v>4058.8</v>
      </c>
      <c r="D6" s="37" t="n">
        <f aca="false">Rollout!$C$5*'Unit Economics'!$D$29+Rollout!$D$5*'Unit Economics'!$C$29</f>
        <v>24109.272</v>
      </c>
      <c r="E6" s="37" t="n">
        <f aca="false">Rollout!$C$5*'Unit Economics'!$E$29+Rollout!$D$5*'Unit Economics'!$D$29+Rollout!$E$5*'Unit Economics'!$C$29</f>
        <v>79796.008</v>
      </c>
      <c r="F6" s="37" t="n">
        <f aca="false">Rollout!$C$5*'Unit Economics'!$F$29+Rollout!$D$5*'Unit Economics'!$E$29+Rollout!$E$5*'Unit Economics'!$D$29+Rollout!$F$5*'Unit Economics'!$C$29</f>
        <v>198394.144</v>
      </c>
      <c r="G6" s="37" t="n">
        <f aca="false">Rollout!$C$5*'Unit Economics'!$G$29+Rollout!$D$5*'Unit Economics'!$F$29+Rollout!$E$5*'Unit Economics'!$E$29+Rollout!$F$5*'Unit Economics'!$D$29+Rollout!$G$5*'Unit Economics'!$C$29</f>
        <v>414728.184</v>
      </c>
      <c r="H6" s="2"/>
    </row>
    <row r="7" customFormat="false" ht="15" hidden="false" customHeight="false" outlineLevel="0" collapsed="false">
      <c r="A7" s="11" t="s">
        <v>236</v>
      </c>
      <c r="B7" s="2"/>
      <c r="C7" s="37" t="n">
        <f aca="false">Rollout!$C$5*'Unit Economics'!$C$30</f>
        <v>3000</v>
      </c>
      <c r="D7" s="37" t="n">
        <f aca="false">Rollout!$C$5*'Unit Economics'!$D$30+Rollout!$D$5*'Unit Economics'!$C$30</f>
        <v>17820</v>
      </c>
      <c r="E7" s="37" t="n">
        <f aca="false">Rollout!$C$5*'Unit Economics'!$E$30+Rollout!$D$5*'Unit Economics'!$D$30+Rollout!$E$5*'Unit Economics'!$C$30</f>
        <v>58980</v>
      </c>
      <c r="F7" s="37" t="n">
        <f aca="false">Rollout!$C$5*'Unit Economics'!$F$30+Rollout!$D$5*'Unit Economics'!$E$30+Rollout!$E$5*'Unit Economics'!$D$30+Rollout!$F$5*'Unit Economics'!$C$30</f>
        <v>146640</v>
      </c>
      <c r="G7" s="37" t="n">
        <f aca="false">Rollout!$C$5*'Unit Economics'!$G$30+Rollout!$D$5*'Unit Economics'!$F$30+Rollout!$E$5*'Unit Economics'!$E$30+Rollout!$F$5*'Unit Economics'!$D$30+Rollout!$G$5*'Unit Economics'!$C$30</f>
        <v>306540</v>
      </c>
      <c r="H7" s="2"/>
    </row>
    <row r="8" customFormat="false" ht="15" hidden="false" customHeight="false" outlineLevel="0" collapsed="false">
      <c r="A8" s="11" t="s">
        <v>237</v>
      </c>
      <c r="B8" s="2"/>
      <c r="C8" s="37" t="n">
        <f aca="false">Rollout!$C$5*'Unit Economics'!$C$31</f>
        <v>63</v>
      </c>
      <c r="D8" s="37" t="n">
        <f aca="false">Rollout!$C$5*'Unit Economics'!$D$31+Rollout!$D$5*'Unit Economics'!$C$31</f>
        <v>577.92</v>
      </c>
      <c r="E8" s="37" t="n">
        <f aca="false">Rollout!$C$5*'Unit Economics'!$E$31+Rollout!$D$5*'Unit Economics'!$D$31+Rollout!$E$5*'Unit Economics'!$C$31</f>
        <v>2412.48</v>
      </c>
      <c r="F8" s="37" t="n">
        <f aca="false">Rollout!$C$5*'Unit Economics'!$F$31+Rollout!$D$5*'Unit Economics'!$E$31+Rollout!$E$5*'Unit Economics'!$D$31+Rollout!$F$5*'Unit Economics'!$C$31</f>
        <v>7026.6</v>
      </c>
      <c r="G8" s="37" t="n">
        <f aca="false">Rollout!$C$5*'Unit Economics'!$G$31+Rollout!$D$5*'Unit Economics'!$F$31+Rollout!$E$5*'Unit Economics'!$E$31+Rollout!$F$5*'Unit Economics'!$D$31+Rollout!$G$5*'Unit Economics'!$C$31</f>
        <v>16544.22</v>
      </c>
      <c r="H8" s="2"/>
    </row>
    <row r="9" customFormat="false" ht="15" hidden="false" customHeight="false" outlineLevel="0" collapsed="false">
      <c r="A9" s="11" t="s">
        <v>238</v>
      </c>
      <c r="B9" s="2"/>
      <c r="C9" s="37" t="n">
        <f aca="false">Rollout!$C$5*'Unit Economics'!$C$32</f>
        <v>544.07424</v>
      </c>
      <c r="D9" s="37" t="n">
        <f aca="false">Rollout!$C$5*'Unit Economics'!$D$32+Rollout!$D$5*'Unit Economics'!$C$32</f>
        <v>5666.6180064</v>
      </c>
      <c r="E9" s="37" t="n">
        <f aca="false">Rollout!$C$5*'Unit Economics'!$E$32+Rollout!$D$5*'Unit Economics'!$D$32+Rollout!$E$5*'Unit Economics'!$C$32</f>
        <v>25627.8401856</v>
      </c>
      <c r="F9" s="37" t="n">
        <f aca="false">Rollout!$C$5*'Unit Economics'!$F$32+Rollout!$D$5*'Unit Economics'!$E$32+Rollout!$E$5*'Unit Economics'!$D$32+Rollout!$F$5*'Unit Economics'!$C$32</f>
        <v>79001.95857984</v>
      </c>
      <c r="G9" s="37" t="n">
        <f aca="false">Rollout!$C$5*'Unit Economics'!$G$32+Rollout!$D$5*'Unit Economics'!$F$32+Rollout!$E$5*'Unit Economics'!$E$32+Rollout!$F$5*'Unit Economics'!$D$32+Rollout!$G$5*'Unit Economics'!$C$32</f>
        <v>194496.47849088</v>
      </c>
      <c r="H9" s="2"/>
    </row>
    <row r="10" customFormat="false" ht="15" hidden="false" customHeight="false" outlineLevel="0" collapsed="false">
      <c r="A10" s="11" t="s">
        <v>277</v>
      </c>
      <c r="B10" s="2"/>
      <c r="C10" s="37" t="n">
        <f aca="false">Rollout!$C$5*'Unit Economics'!$C$33+Rollout!C5*Assumptions!$C$62*Assumptions!$F$10</f>
        <v>300</v>
      </c>
      <c r="D10" s="37" t="n">
        <f aca="false">Rollout!$C$5*'Unit Economics'!$D$33+Rollout!$D$5*'Unit Economics'!$C$33+Rollout!D5*Assumptions!$C$62*Assumptions!$F$10</f>
        <v>1588</v>
      </c>
      <c r="E10" s="37" t="n">
        <f aca="false">Rollout!$C$5*'Unit Economics'!$E$33+Rollout!$D$5*'Unit Economics'!$D$33+Rollout!$E$5*'Unit Economics'!$C$33+Rollout!E5*Assumptions!$C$62*Assumptions!$F$10</f>
        <v>4932</v>
      </c>
      <c r="F10" s="37" t="n">
        <f aca="false">Rollout!$C$5*'Unit Economics'!$F$33+Rollout!$D$5*'Unit Economics'!$E$33+Rollout!$E$5*'Unit Economics'!$D$33+Rollout!$F$5*'Unit Economics'!$C$33+Rollout!F5*Assumptions!$C$62*Assumptions!$F$10</f>
        <v>11776</v>
      </c>
      <c r="G10" s="37" t="n">
        <f aca="false">Rollout!$C$5*'Unit Economics'!$G$33+Rollout!$D$5*'Unit Economics'!$F$33+Rollout!$E$5*'Unit Economics'!$E$33+Rollout!$F$5*'Unit Economics'!$D$33+Rollout!$G$5*'Unit Economics'!$C$33+Rollout!G5*Assumptions!$C$62*Assumptions!$F$10</f>
        <v>23936</v>
      </c>
      <c r="H10" s="2"/>
    </row>
    <row r="11" customFormat="false" ht="15" hidden="false" customHeight="false" outlineLevel="0" collapsed="false">
      <c r="A11" s="4" t="s">
        <v>278</v>
      </c>
      <c r="B11" s="2"/>
      <c r="C11" s="38" t="n">
        <f aca="false">SUM(C6:C10)</f>
        <v>7965.87424</v>
      </c>
      <c r="D11" s="38" t="n">
        <f aca="false">SUM(D6:D10)</f>
        <v>49761.8100064</v>
      </c>
      <c r="E11" s="38" t="n">
        <f aca="false">SUM(E6:E10)</f>
        <v>171748.3281856</v>
      </c>
      <c r="F11" s="38" t="n">
        <f aca="false">SUM(F6:F10)</f>
        <v>442838.70257984</v>
      </c>
      <c r="G11" s="38" t="n">
        <f aca="false">SUM(G6:G10)</f>
        <v>956244.88249088</v>
      </c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15" t="s">
        <v>279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11" t="s">
        <v>280</v>
      </c>
      <c r="B14" s="2"/>
      <c r="C14" s="9" t="n">
        <f aca="false">Headcount!C19</f>
        <v>65625</v>
      </c>
      <c r="D14" s="9" t="n">
        <f aca="false">Headcount!D19</f>
        <v>180250</v>
      </c>
      <c r="E14" s="9" t="n">
        <f aca="false">Headcount!E19</f>
        <v>510558.125</v>
      </c>
      <c r="F14" s="9" t="n">
        <f aca="false">Headcount!F19</f>
        <v>1242976.9625</v>
      </c>
      <c r="G14" s="9" t="n">
        <f aca="false">Headcount!G19</f>
        <v>2609773.5531875</v>
      </c>
      <c r="H14" s="2"/>
    </row>
    <row r="15" customFormat="false" ht="15" hidden="false" customHeight="false" outlineLevel="0" collapsed="false">
      <c r="A15" s="11" t="s">
        <v>281</v>
      </c>
      <c r="B15" s="2"/>
      <c r="C15" s="9" t="n">
        <f aca="false">Headcount!C20</f>
        <v>60937.5</v>
      </c>
      <c r="D15" s="9" t="n">
        <f aca="false">Headcount!D20</f>
        <v>209218.75</v>
      </c>
      <c r="E15" s="9" t="n">
        <f aca="false">Headcount!E20</f>
        <v>603386.875</v>
      </c>
      <c r="F15" s="9" t="n">
        <f aca="false">Headcount!F20</f>
        <v>1464937.134375</v>
      </c>
      <c r="G15" s="9" t="n">
        <f aca="false">Headcount!G20</f>
        <v>3154941.88303125</v>
      </c>
      <c r="H15" s="2"/>
    </row>
    <row r="16" customFormat="false" ht="15" hidden="false" customHeight="false" outlineLevel="0" collapsed="false">
      <c r="A16" s="11" t="s">
        <v>282</v>
      </c>
      <c r="B16" s="2"/>
      <c r="C16" s="37" t="n">
        <f aca="false">(Rollout!$C$5*'Unit Economics'!$C$27)*Assumptions!$C$70</f>
        <v>609</v>
      </c>
      <c r="D16" s="37" t="n">
        <f aca="false">(Rollout!$C$5*'Unit Economics'!$D$27+Rollout!$D$5*'Unit Economics'!$C$27)*Assumptions!$C$70</f>
        <v>9104.3232</v>
      </c>
      <c r="E16" s="37" t="n">
        <f aca="false">(Rollout!$C$5*'Unit Economics'!$E$27+Rollout!$D$5*'Unit Economics'!$D$27+Rollout!$E$5*'Unit Economics'!$C$27)*Assumptions!$C$70</f>
        <v>46377.1728</v>
      </c>
      <c r="F16" s="37" t="n">
        <f aca="false">(Rollout!$C$5*'Unit Economics'!$F$27+Rollout!$D$5*'Unit Economics'!$E$27+Rollout!$E$5*'Unit Economics'!$D$27+Rollout!$F$5*'Unit Economics'!$C$27)*Assumptions!$C$70</f>
        <v>152830.5576</v>
      </c>
      <c r="G16" s="37" t="n">
        <f aca="false">(Rollout!$C$5*'Unit Economics'!$G$27+Rollout!$D$5*'Unit Economics'!$F$27+Rollout!$E$5*'Unit Economics'!$E$27+Rollout!$F$5*'Unit Economics'!$D$27+Rollout!$G$5*'Unit Economics'!$C$27)*Assumptions!$C$70</f>
        <v>392084.7504</v>
      </c>
      <c r="H16" s="2"/>
    </row>
    <row r="17" customFormat="false" ht="15" hidden="false" customHeight="false" outlineLevel="0" collapsed="false">
      <c r="A17" s="11" t="s">
        <v>283</v>
      </c>
      <c r="B17" s="2"/>
      <c r="C17" s="9" t="n">
        <f aca="false">Headcount!C21</f>
        <v>51562.5</v>
      </c>
      <c r="D17" s="9" t="n">
        <f aca="false">Headcount!D21</f>
        <v>70812.5</v>
      </c>
      <c r="E17" s="9" t="n">
        <f aca="false">Headcount!E21</f>
        <v>145873.75</v>
      </c>
      <c r="F17" s="9" t="n">
        <f aca="false">Headcount!F21</f>
        <v>338062.415625</v>
      </c>
      <c r="G17" s="9" t="n">
        <f aca="false">Headcount!G21</f>
        <v>696408.5761875</v>
      </c>
      <c r="H17" s="2"/>
    </row>
    <row r="18" customFormat="false" ht="15" hidden="false" customHeight="false" outlineLevel="0" collapsed="false">
      <c r="A18" s="11" t="s">
        <v>284</v>
      </c>
      <c r="B18" s="2"/>
      <c r="C18" s="37" t="n">
        <f aca="false">Rollout!C5*(Assumptions!$C$63+Assumptions!$C$61)*Assumptions!$F$10</f>
        <v>30500</v>
      </c>
      <c r="D18" s="37" t="n">
        <f aca="false">Rollout!D5*(Assumptions!$C$63+Assumptions!$C$61)*Assumptions!$F$10</f>
        <v>122000</v>
      </c>
      <c r="E18" s="37" t="n">
        <f aca="false">Rollout!E5*(Assumptions!$C$63+Assumptions!$C$61)*Assumptions!$F$10</f>
        <v>305000</v>
      </c>
      <c r="F18" s="37" t="n">
        <f aca="false">Rollout!F5*(Assumptions!$C$63+Assumptions!$C$61)*Assumptions!$F$10</f>
        <v>610000</v>
      </c>
      <c r="G18" s="37" t="n">
        <f aca="false">Rollout!G5*(Assumptions!$C$63+Assumptions!$C$61)*Assumptions!$F$10</f>
        <v>1067500</v>
      </c>
      <c r="H18" s="2"/>
    </row>
    <row r="19" customFormat="false" ht="15" hidden="false" customHeight="false" outlineLevel="0" collapsed="false">
      <c r="A19" s="11" t="s">
        <v>247</v>
      </c>
      <c r="B19" s="2"/>
      <c r="C19" s="37" t="n">
        <f aca="false">Rollout!$C$5*'Unit Economics'!$C$41</f>
        <v>3360</v>
      </c>
      <c r="D19" s="37" t="n">
        <f aca="false">Rollout!$C$5*'Unit Economics'!$D$41+Rollout!$D$5*'Unit Economics'!$C$41</f>
        <v>18771.2</v>
      </c>
      <c r="E19" s="37" t="n">
        <f aca="false">Rollout!$C$5*'Unit Economics'!$E$41+Rollout!$D$5*'Unit Economics'!$D$41+Rollout!$E$5*'Unit Economics'!$C$41</f>
        <v>59001.6</v>
      </c>
      <c r="F19" s="37" t="n">
        <f aca="false">Rollout!$C$5*'Unit Economics'!$F$41+Rollout!$D$5*'Unit Economics'!$E$41+Rollout!$E$5*'Unit Economics'!$D$41+Rollout!$F$5*'Unit Economics'!$C$41</f>
        <v>139843.2</v>
      </c>
      <c r="G19" s="37" t="n">
        <f aca="false">Rollout!$C$5*'Unit Economics'!$G$41+Rollout!$D$5*'Unit Economics'!$F$41+Rollout!$E$5*'Unit Economics'!$E$41+Rollout!$F$5*'Unit Economics'!$D$41+Rollout!$G$5*'Unit Economics'!$C$41</f>
        <v>279003.2</v>
      </c>
      <c r="H19" s="2"/>
    </row>
    <row r="20" customFormat="false" ht="15" hidden="false" customHeight="false" outlineLevel="0" collapsed="false">
      <c r="A20" s="11" t="s">
        <v>176</v>
      </c>
      <c r="B20" s="2"/>
      <c r="C20" s="9" t="n">
        <f aca="false">Assumptions!C$91</f>
        <v>50000</v>
      </c>
      <c r="D20" s="9" t="n">
        <f aca="false">Assumptions!D$91</f>
        <v>150000</v>
      </c>
      <c r="E20" s="9" t="n">
        <f aca="false">Assumptions!E$91</f>
        <v>300000</v>
      </c>
      <c r="F20" s="9" t="n">
        <f aca="false">Assumptions!F$91</f>
        <v>500000</v>
      </c>
      <c r="G20" s="9" t="n">
        <f aca="false">Assumptions!G$91</f>
        <v>700000</v>
      </c>
      <c r="H20" s="2"/>
    </row>
    <row r="21" customFormat="false" ht="15" hidden="false" customHeight="false" outlineLevel="0" collapsed="false">
      <c r="A21" s="11" t="s">
        <v>285</v>
      </c>
      <c r="B21" s="2"/>
      <c r="C21" s="9" t="n">
        <f aca="false">Headcount!C17</f>
        <v>478125</v>
      </c>
      <c r="D21" s="9" t="n">
        <f aca="false">Headcount!D17</f>
        <v>875500</v>
      </c>
      <c r="E21" s="9" t="n">
        <f aca="false">Headcount!E17</f>
        <v>1465368.125</v>
      </c>
      <c r="F21" s="9" t="n">
        <f aca="false">Headcount!F17</f>
        <v>2205942.63125</v>
      </c>
      <c r="G21" s="9" t="n">
        <f aca="false">Headcount!G17</f>
        <v>2989632.7765625</v>
      </c>
      <c r="H21" s="2"/>
    </row>
    <row r="22" customFormat="false" ht="15" hidden="false" customHeight="false" outlineLevel="0" collapsed="false">
      <c r="A22" s="11" t="s">
        <v>286</v>
      </c>
      <c r="B22" s="2"/>
      <c r="C22" s="9" t="n">
        <f aca="false">Headcount!C16</f>
        <v>300000</v>
      </c>
      <c r="D22" s="9" t="n">
        <f aca="false">Headcount!D16</f>
        <v>412000</v>
      </c>
      <c r="E22" s="9" t="n">
        <f aca="false">Headcount!E16</f>
        <v>530450</v>
      </c>
      <c r="F22" s="9" t="n">
        <f aca="false">Headcount!F16</f>
        <v>764908.9</v>
      </c>
      <c r="G22" s="9" t="n">
        <f aca="false">Headcount!G16</f>
        <v>1012957.929</v>
      </c>
      <c r="H22" s="2"/>
    </row>
    <row r="23" customFormat="false" ht="15" hidden="false" customHeight="false" outlineLevel="0" collapsed="false">
      <c r="A23" s="11" t="s">
        <v>287</v>
      </c>
      <c r="B23" s="2"/>
      <c r="C23" s="9" t="n">
        <f aca="false">Headcount!C18</f>
        <v>103125</v>
      </c>
      <c r="D23" s="9" t="n">
        <f aca="false">Headcount!D18</f>
        <v>141625</v>
      </c>
      <c r="E23" s="9" t="n">
        <f aca="false">Headcount!E18</f>
        <v>218810.625</v>
      </c>
      <c r="F23" s="9" t="n">
        <f aca="false">Headcount!F18</f>
        <v>375624.90625</v>
      </c>
      <c r="G23" s="9" t="n">
        <f aca="false">Headcount!G18</f>
        <v>541651.1148125</v>
      </c>
      <c r="H23" s="2"/>
    </row>
    <row r="24" customFormat="false" ht="15" hidden="false" customHeight="false" outlineLevel="0" collapsed="false">
      <c r="A24" s="11" t="s">
        <v>288</v>
      </c>
      <c r="B24" s="2"/>
      <c r="C24" s="37" t="n">
        <f aca="false">Assumptions!C$92+Rollout!C8*Assumptions!$C$93</f>
        <v>61000</v>
      </c>
      <c r="D24" s="37" t="n">
        <f aca="false">Assumptions!D$92+Rollout!D8*Assumptions!$C$93</f>
        <v>95970</v>
      </c>
      <c r="E24" s="37" t="n">
        <f aca="false">Assumptions!E$92+Rollout!E8*Assumptions!$C$93</f>
        <v>159800</v>
      </c>
      <c r="F24" s="37" t="n">
        <f aca="false">Assumptions!F$92+Rollout!F8*Assumptions!$C$93</f>
        <v>249270</v>
      </c>
      <c r="G24" s="37" t="n">
        <f aca="false">Assumptions!G$92+Rollout!G8*Assumptions!$C$93</f>
        <v>363030</v>
      </c>
      <c r="H24" s="2"/>
    </row>
    <row r="25" customFormat="false" ht="15" hidden="false" customHeight="false" outlineLevel="0" collapsed="false">
      <c r="A25" s="11" t="s">
        <v>289</v>
      </c>
      <c r="B25" s="2"/>
      <c r="C25" s="37" t="n">
        <f aca="false">Headcount!C12*Assumptions!$C$94</f>
        <v>27000</v>
      </c>
      <c r="D25" s="37" t="n">
        <f aca="false">Headcount!D12*Assumptions!$C$94</f>
        <v>48000</v>
      </c>
      <c r="E25" s="37" t="n">
        <f aca="false">Headcount!E12*Assumptions!$C$94</f>
        <v>102000</v>
      </c>
      <c r="F25" s="37" t="n">
        <f aca="false">Headcount!F12*Assumptions!$C$94</f>
        <v>195000</v>
      </c>
      <c r="G25" s="37" t="n">
        <f aca="false">Headcount!G12*Assumptions!$C$94</f>
        <v>348000</v>
      </c>
      <c r="H25" s="2"/>
    </row>
    <row r="26" customFormat="false" ht="15" hidden="false" customHeight="false" outlineLevel="0" collapsed="false">
      <c r="A26" s="4" t="s">
        <v>290</v>
      </c>
      <c r="B26" s="2"/>
      <c r="C26" s="38" t="n">
        <f aca="false">SUM(C14:C25)</f>
        <v>1231844</v>
      </c>
      <c r="D26" s="38" t="n">
        <f aca="false">SUM(D14:D25)</f>
        <v>2333251.7732</v>
      </c>
      <c r="E26" s="38" t="n">
        <f aca="false">SUM(E14:E25)</f>
        <v>4446626.2728</v>
      </c>
      <c r="F26" s="38" t="n">
        <f aca="false">SUM(F14:F25)</f>
        <v>8239396.7076</v>
      </c>
      <c r="G26" s="38" t="n">
        <f aca="false">SUM(G14:G25)</f>
        <v>14154983.7831813</v>
      </c>
      <c r="H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291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292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4" t="s">
        <v>293</v>
      </c>
      <c r="B5" s="2"/>
      <c r="C5" s="27" t="n">
        <f aca="false">Revenue!C11</f>
        <v>18028.56</v>
      </c>
      <c r="D5" s="27" t="n">
        <f aca="false">Revenue!D11</f>
        <v>217104.8736</v>
      </c>
      <c r="E5" s="27" t="n">
        <f aca="false">Revenue!E11</f>
        <v>1084578.1344</v>
      </c>
      <c r="F5" s="27" t="n">
        <f aca="false">Revenue!F11</f>
        <v>3547797.98496</v>
      </c>
      <c r="G5" s="27" t="n">
        <f aca="false">Revenue!G11</f>
        <v>9061606.73472</v>
      </c>
      <c r="H5" s="2"/>
    </row>
    <row r="6" customFormat="false" ht="15" hidden="false" customHeight="false" outlineLevel="0" collapsed="false">
      <c r="A6" s="11" t="s">
        <v>276</v>
      </c>
      <c r="B6" s="2"/>
      <c r="C6" s="9" t="n">
        <f aca="false">Costs!C11</f>
        <v>7965.87424</v>
      </c>
      <c r="D6" s="9" t="n">
        <f aca="false">Costs!D11</f>
        <v>49761.8100064</v>
      </c>
      <c r="E6" s="9" t="n">
        <f aca="false">Costs!E11</f>
        <v>171748.3281856</v>
      </c>
      <c r="F6" s="9" t="n">
        <f aca="false">Costs!F11</f>
        <v>442838.70257984</v>
      </c>
      <c r="G6" s="9" t="n">
        <f aca="false">Costs!G11</f>
        <v>956244.88249088</v>
      </c>
      <c r="H6" s="2"/>
    </row>
    <row r="7" customFormat="false" ht="15" hidden="false" customHeight="false" outlineLevel="0" collapsed="false">
      <c r="A7" s="4" t="s">
        <v>294</v>
      </c>
      <c r="B7" s="2"/>
      <c r="C7" s="38" t="n">
        <f aca="false">C5-C6</f>
        <v>10062.68576</v>
      </c>
      <c r="D7" s="38" t="n">
        <f aca="false">D5-D6</f>
        <v>167343.0635936</v>
      </c>
      <c r="E7" s="38" t="n">
        <f aca="false">E5-E6</f>
        <v>912829.8062144</v>
      </c>
      <c r="F7" s="38" t="n">
        <f aca="false">F5-F6</f>
        <v>3104959.28238016</v>
      </c>
      <c r="G7" s="38" t="n">
        <f aca="false">G5-G6</f>
        <v>8105361.85222912</v>
      </c>
      <c r="H7" s="2"/>
    </row>
    <row r="8" customFormat="false" ht="15" hidden="false" customHeight="false" outlineLevel="0" collapsed="false">
      <c r="A8" s="11" t="s">
        <v>12</v>
      </c>
      <c r="B8" s="2"/>
      <c r="C8" s="34" t="n">
        <f aca="false">IF(C5=0,0,C7/C5)</f>
        <v>0.558152495817747</v>
      </c>
      <c r="D8" s="34" t="n">
        <f aca="false">IF(D5=0,0,D7/D5)</f>
        <v>0.77079367597209</v>
      </c>
      <c r="E8" s="34" t="n">
        <f aca="false">IF(E5=0,0,E7/E5)</f>
        <v>0.841645038989641</v>
      </c>
      <c r="F8" s="34" t="n">
        <f aca="false">IF(F5=0,0,F7/F5)</f>
        <v>0.875179278962009</v>
      </c>
      <c r="G8" s="34" t="n">
        <f aca="false">IF(G5=0,0,G7/G5)</f>
        <v>0.89447292180238</v>
      </c>
      <c r="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11" t="s">
        <v>295</v>
      </c>
      <c r="B10" s="2"/>
      <c r="C10" s="9" t="n">
        <f aca="false">Costs!C14</f>
        <v>65625</v>
      </c>
      <c r="D10" s="9" t="n">
        <f aca="false">Costs!D14</f>
        <v>180250</v>
      </c>
      <c r="E10" s="9" t="n">
        <f aca="false">Costs!E14</f>
        <v>510558.125</v>
      </c>
      <c r="F10" s="9" t="n">
        <f aca="false">Costs!F14</f>
        <v>1242976.9625</v>
      </c>
      <c r="G10" s="9" t="n">
        <f aca="false">Costs!G14</f>
        <v>2609773.5531875</v>
      </c>
      <c r="H10" s="2"/>
    </row>
    <row r="11" customFormat="false" ht="15" hidden="false" customHeight="false" outlineLevel="0" collapsed="false">
      <c r="A11" s="11" t="s">
        <v>296</v>
      </c>
      <c r="B11" s="2"/>
      <c r="C11" s="9" t="n">
        <f aca="false">Costs!C15+Costs!C16+Costs!C17+Costs!C18+Costs!C19+Costs!C20</f>
        <v>196969</v>
      </c>
      <c r="D11" s="9" t="n">
        <f aca="false">Costs!D15+Costs!D16+Costs!D17+Costs!D18+Costs!D19+Costs!D20</f>
        <v>579906.7732</v>
      </c>
      <c r="E11" s="9" t="n">
        <f aca="false">Costs!E15+Costs!E16+Costs!E17+Costs!E18+Costs!E19+Costs!E20</f>
        <v>1459639.3978</v>
      </c>
      <c r="F11" s="9" t="n">
        <f aca="false">Costs!F15+Costs!F16+Costs!F17+Costs!F18+Costs!F19+Costs!F20</f>
        <v>3205673.3076</v>
      </c>
      <c r="G11" s="9" t="n">
        <f aca="false">Costs!G15+Costs!G16+Costs!G17+Costs!G18+Costs!G19+Costs!G20</f>
        <v>6289938.40961875</v>
      </c>
      <c r="H11" s="2"/>
    </row>
    <row r="12" customFormat="false" ht="15" hidden="false" customHeight="false" outlineLevel="0" collapsed="false">
      <c r="A12" s="11" t="s">
        <v>174</v>
      </c>
      <c r="B12" s="2"/>
      <c r="C12" s="9" t="n">
        <f aca="false">Costs!C21</f>
        <v>478125</v>
      </c>
      <c r="D12" s="9" t="n">
        <f aca="false">Costs!D21</f>
        <v>875500</v>
      </c>
      <c r="E12" s="9" t="n">
        <f aca="false">Costs!E21</f>
        <v>1465368.125</v>
      </c>
      <c r="F12" s="9" t="n">
        <f aca="false">Costs!F21</f>
        <v>2205942.63125</v>
      </c>
      <c r="G12" s="9" t="n">
        <f aca="false">Costs!G21</f>
        <v>2989632.7765625</v>
      </c>
      <c r="H12" s="2"/>
    </row>
    <row r="13" customFormat="false" ht="15" hidden="false" customHeight="false" outlineLevel="0" collapsed="false">
      <c r="A13" s="11" t="s">
        <v>297</v>
      </c>
      <c r="B13" s="2"/>
      <c r="C13" s="9" t="n">
        <f aca="false">Costs!C22+Costs!C23+Costs!C24+Costs!C25</f>
        <v>491125</v>
      </c>
      <c r="D13" s="9" t="n">
        <f aca="false">Costs!D22+Costs!D23+Costs!D24+Costs!D25</f>
        <v>697595</v>
      </c>
      <c r="E13" s="9" t="n">
        <f aca="false">Costs!E22+Costs!E23+Costs!E24+Costs!E25</f>
        <v>1011060.625</v>
      </c>
      <c r="F13" s="9" t="n">
        <f aca="false">Costs!F22+Costs!F23+Costs!F24+Costs!F25</f>
        <v>1584803.80625</v>
      </c>
      <c r="G13" s="9" t="n">
        <f aca="false">Costs!G22+Costs!G23+Costs!G24+Costs!G25</f>
        <v>2265639.0438125</v>
      </c>
      <c r="H13" s="2"/>
    </row>
    <row r="14" customFormat="false" ht="15" hidden="false" customHeight="false" outlineLevel="0" collapsed="false">
      <c r="A14" s="11" t="s">
        <v>290</v>
      </c>
      <c r="B14" s="2"/>
      <c r="C14" s="40" t="n">
        <f aca="false">SUM(C10:C13)</f>
        <v>1231844</v>
      </c>
      <c r="D14" s="40" t="n">
        <f aca="false">SUM(D10:D13)</f>
        <v>2333251.7732</v>
      </c>
      <c r="E14" s="40" t="n">
        <f aca="false">SUM(E10:E13)</f>
        <v>4446626.2728</v>
      </c>
      <c r="F14" s="40" t="n">
        <f aca="false">SUM(F10:F13)</f>
        <v>8239396.7076</v>
      </c>
      <c r="G14" s="40" t="n">
        <f aca="false">SUM(G10:G13)</f>
        <v>14154983.7831813</v>
      </c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4" t="s">
        <v>298</v>
      </c>
      <c r="B16" s="2"/>
      <c r="C16" s="27" t="n">
        <f aca="false">C7-C14</f>
        <v>-1221781.31424</v>
      </c>
      <c r="D16" s="27" t="n">
        <f aca="false">D7-D14</f>
        <v>-2165908.7096064</v>
      </c>
      <c r="E16" s="27" t="n">
        <f aca="false">E7-E14</f>
        <v>-3533796.4665856</v>
      </c>
      <c r="F16" s="27" t="n">
        <f aca="false">F7-F14</f>
        <v>-5134437.42521984</v>
      </c>
      <c r="G16" s="27" t="n">
        <f aca="false">G7-G14</f>
        <v>-6049621.93095213</v>
      </c>
      <c r="H16" s="2"/>
    </row>
    <row r="17" customFormat="false" ht="15" hidden="false" customHeight="false" outlineLevel="0" collapsed="false">
      <c r="A17" s="11" t="s">
        <v>14</v>
      </c>
      <c r="B17" s="2"/>
      <c r="C17" s="34" t="n">
        <f aca="false">IF(C5=0,0,C16/C5)</f>
        <v>-67.7692125294533</v>
      </c>
      <c r="D17" s="34" t="n">
        <f aca="false">IF(D5=0,0,D16/D5)</f>
        <v>-9.97632468443306</v>
      </c>
      <c r="E17" s="34" t="n">
        <f aca="false">IF(E5=0,0,E16/E5)</f>
        <v>-3.25822211835437</v>
      </c>
      <c r="F17" s="34" t="n">
        <f aca="false">IF(F5=0,0,F16/F5)</f>
        <v>-1.44721809048486</v>
      </c>
      <c r="G17" s="34" t="n">
        <f aca="false">IF(G5=0,0,G16/G5)</f>
        <v>-0.667610293412172</v>
      </c>
      <c r="H17" s="2"/>
    </row>
    <row r="18" customFormat="false" ht="15" hidden="false" customHeight="false" outlineLevel="0" collapsed="false">
      <c r="A18" s="11" t="s">
        <v>299</v>
      </c>
      <c r="B18" s="2"/>
      <c r="C18" s="37" t="n">
        <f aca="false">Headcount!C13*Assumptions!$C$95</f>
        <v>22500</v>
      </c>
      <c r="D18" s="37" t="n">
        <f aca="false">Headcount!D13*Assumptions!$C$95</f>
        <v>17500</v>
      </c>
      <c r="E18" s="37" t="n">
        <f aca="false">Headcount!E13*Assumptions!$C$95</f>
        <v>45000</v>
      </c>
      <c r="F18" s="37" t="n">
        <f aca="false">Headcount!F13*Assumptions!$C$95</f>
        <v>77500</v>
      </c>
      <c r="G18" s="37" t="n">
        <f aca="false">Headcount!G13*Assumptions!$C$95</f>
        <v>127500</v>
      </c>
      <c r="H18" s="2"/>
    </row>
    <row r="19" customFormat="false" ht="15" hidden="false" customHeight="false" outlineLevel="0" collapsed="false">
      <c r="A19" s="11" t="s">
        <v>300</v>
      </c>
      <c r="B19" s="2"/>
      <c r="C19" s="37" t="n">
        <f aca="false">(C18)/Assumptions!$C$96</f>
        <v>7500</v>
      </c>
      <c r="D19" s="37" t="n">
        <f aca="false">(C18+D18)/Assumptions!$C$96</f>
        <v>13333.3333333333</v>
      </c>
      <c r="E19" s="37" t="n">
        <f aca="false">(C18+D18+E18)/Assumptions!$C$96</f>
        <v>28333.3333333333</v>
      </c>
      <c r="F19" s="37" t="n">
        <f aca="false">(D18+E18+F18)/Assumptions!$C$96</f>
        <v>46666.6666666667</v>
      </c>
      <c r="G19" s="37" t="n">
        <f aca="false">(E18+F18+G18)/Assumptions!$C$96</f>
        <v>83333.3333333333</v>
      </c>
      <c r="H19" s="2"/>
    </row>
    <row r="20" customFormat="false" ht="15" hidden="false" customHeight="false" outlineLevel="0" collapsed="false">
      <c r="A20" s="4" t="s">
        <v>301</v>
      </c>
      <c r="B20" s="2"/>
      <c r="C20" s="27" t="n">
        <f aca="false">C16-C19</f>
        <v>-1229281.31424</v>
      </c>
      <c r="D20" s="27" t="n">
        <f aca="false">D16-D19</f>
        <v>-2179242.04293973</v>
      </c>
      <c r="E20" s="27" t="n">
        <f aca="false">E16-E19</f>
        <v>-3562129.79991893</v>
      </c>
      <c r="F20" s="27" t="n">
        <f aca="false">F16-F19</f>
        <v>-5181104.09188651</v>
      </c>
      <c r="G20" s="27" t="n">
        <f aca="false">G16-G19</f>
        <v>-6132955.26428547</v>
      </c>
      <c r="H20" s="2"/>
    </row>
    <row r="21" customFormat="false" ht="15" hidden="false" customHeight="false" outlineLevel="0" collapsed="false">
      <c r="A21" s="11" t="s">
        <v>302</v>
      </c>
      <c r="B21" s="2"/>
      <c r="C21" s="37" t="n">
        <f aca="false">0</f>
        <v>0</v>
      </c>
      <c r="D21" s="37" t="n">
        <f aca="false">C23</f>
        <v>1229281.31424</v>
      </c>
      <c r="E21" s="37" t="n">
        <f aca="false">D23</f>
        <v>3408523.35717973</v>
      </c>
      <c r="F21" s="37" t="n">
        <f aca="false">E23</f>
        <v>6970653.15709867</v>
      </c>
      <c r="G21" s="37" t="n">
        <f aca="false">F23</f>
        <v>12151757.2489852</v>
      </c>
      <c r="H21" s="2"/>
    </row>
    <row r="22" customFormat="false" ht="15" hidden="false" customHeight="false" outlineLevel="0" collapsed="false">
      <c r="A22" s="11" t="s">
        <v>303</v>
      </c>
      <c r="B22" s="2"/>
      <c r="C22" s="37" t="n">
        <f aca="false">MAX(0,C20-C21)</f>
        <v>0</v>
      </c>
      <c r="D22" s="37" t="n">
        <f aca="false">MAX(0,D20-D21)</f>
        <v>0</v>
      </c>
      <c r="E22" s="37" t="n">
        <f aca="false">MAX(0,E20-E21)</f>
        <v>0</v>
      </c>
      <c r="F22" s="37" t="n">
        <f aca="false">MAX(0,F20-F21)</f>
        <v>0</v>
      </c>
      <c r="G22" s="37" t="n">
        <f aca="false">MAX(0,G20-G21)</f>
        <v>0</v>
      </c>
      <c r="H22" s="2"/>
    </row>
    <row r="23" customFormat="false" ht="15" hidden="false" customHeight="false" outlineLevel="0" collapsed="false">
      <c r="A23" s="11" t="s">
        <v>304</v>
      </c>
      <c r="B23" s="2"/>
      <c r="C23" s="37" t="n">
        <f aca="false">MAX(0,C21-MAX(0,C20))+MAX(0,-C20)</f>
        <v>1229281.31424</v>
      </c>
      <c r="D23" s="37" t="n">
        <f aca="false">MAX(0,D21-MAX(0,D20))+MAX(0,-D20)</f>
        <v>3408523.35717973</v>
      </c>
      <c r="E23" s="37" t="n">
        <f aca="false">MAX(0,E21-MAX(0,E20))+MAX(0,-E20)</f>
        <v>6970653.15709867</v>
      </c>
      <c r="F23" s="37" t="n">
        <f aca="false">MAX(0,F21-MAX(0,F20))+MAX(0,-F20)</f>
        <v>12151757.2489852</v>
      </c>
      <c r="G23" s="37" t="n">
        <f aca="false">MAX(0,G21-MAX(0,G20))+MAX(0,-G20)</f>
        <v>18284712.5132706</v>
      </c>
      <c r="H23" s="2"/>
    </row>
    <row r="24" customFormat="false" ht="15" hidden="false" customHeight="false" outlineLevel="0" collapsed="false">
      <c r="A24" s="11" t="s">
        <v>305</v>
      </c>
      <c r="B24" s="2"/>
      <c r="C24" s="37" t="n">
        <f aca="false">C22*Assumptions!$C$99</f>
        <v>0</v>
      </c>
      <c r="D24" s="37" t="n">
        <f aca="false">D22*Assumptions!$C$99</f>
        <v>0</v>
      </c>
      <c r="E24" s="37" t="n">
        <f aca="false">E22*Assumptions!$C$99</f>
        <v>0</v>
      </c>
      <c r="F24" s="37" t="n">
        <f aca="false">F22*Assumptions!$C$99</f>
        <v>0</v>
      </c>
      <c r="G24" s="37" t="n">
        <f aca="false">G22*Assumptions!$C$99</f>
        <v>0</v>
      </c>
      <c r="H24" s="2"/>
    </row>
    <row r="25" customFormat="false" ht="15" hidden="false" customHeight="false" outlineLevel="0" collapsed="false">
      <c r="A25" s="4" t="s">
        <v>306</v>
      </c>
      <c r="B25" s="2"/>
      <c r="C25" s="38" t="n">
        <f aca="false">C20-C24</f>
        <v>-1229281.31424</v>
      </c>
      <c r="D25" s="38" t="n">
        <f aca="false">D20-D24</f>
        <v>-2179242.04293973</v>
      </c>
      <c r="E25" s="38" t="n">
        <f aca="false">E20-E24</f>
        <v>-3562129.79991893</v>
      </c>
      <c r="F25" s="38" t="n">
        <f aca="false">F20-F24</f>
        <v>-5181104.09188651</v>
      </c>
      <c r="G25" s="38" t="n">
        <f aca="false">G20-G24</f>
        <v>-6132955.26428547</v>
      </c>
      <c r="H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307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308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2" t="s">
        <v>298</v>
      </c>
      <c r="B5" s="2"/>
      <c r="C5" s="9" t="n">
        <f aca="false">'P&amp;L'!C16</f>
        <v>-1221781.31424</v>
      </c>
      <c r="D5" s="9" t="n">
        <f aca="false">'P&amp;L'!D16</f>
        <v>-2165908.7096064</v>
      </c>
      <c r="E5" s="9" t="n">
        <f aca="false">'P&amp;L'!E16</f>
        <v>-3533796.4665856</v>
      </c>
      <c r="F5" s="9" t="n">
        <f aca="false">'P&amp;L'!F16</f>
        <v>-5134437.42521984</v>
      </c>
      <c r="G5" s="9" t="n">
        <f aca="false">'P&amp;L'!G16</f>
        <v>-6049621.93095213</v>
      </c>
      <c r="H5" s="2"/>
    </row>
    <row r="6" customFormat="false" ht="15" hidden="false" customHeight="false" outlineLevel="0" collapsed="false">
      <c r="A6" s="2" t="s">
        <v>309</v>
      </c>
      <c r="B6" s="2"/>
      <c r="C6" s="9" t="n">
        <f aca="false">-'P&amp;L'!C24</f>
        <v>-0</v>
      </c>
      <c r="D6" s="9" t="n">
        <f aca="false">-'P&amp;L'!D24</f>
        <v>-0</v>
      </c>
      <c r="E6" s="9" t="n">
        <f aca="false">-'P&amp;L'!E24</f>
        <v>-0</v>
      </c>
      <c r="F6" s="9" t="n">
        <f aca="false">-'P&amp;L'!F24</f>
        <v>-0</v>
      </c>
      <c r="G6" s="9" t="n">
        <f aca="false">-'P&amp;L'!G24</f>
        <v>-0</v>
      </c>
      <c r="H6" s="2"/>
    </row>
    <row r="7" customFormat="false" ht="15" hidden="false" customHeight="false" outlineLevel="0" collapsed="false">
      <c r="A7" s="2" t="s">
        <v>310</v>
      </c>
      <c r="B7" s="2"/>
      <c r="C7" s="9" t="n">
        <f aca="false">-'P&amp;L'!C18</f>
        <v>-22500</v>
      </c>
      <c r="D7" s="9" t="n">
        <f aca="false">-'P&amp;L'!D18</f>
        <v>-17500</v>
      </c>
      <c r="E7" s="9" t="n">
        <f aca="false">-'P&amp;L'!E18</f>
        <v>-45000</v>
      </c>
      <c r="F7" s="9" t="n">
        <f aca="false">-'P&amp;L'!F18</f>
        <v>-77500</v>
      </c>
      <c r="G7" s="9" t="n">
        <f aca="false">-'P&amp;L'!G18</f>
        <v>-127500</v>
      </c>
      <c r="H7" s="2"/>
    </row>
    <row r="8" customFormat="false" ht="15" hidden="false" customHeight="false" outlineLevel="0" collapsed="false">
      <c r="A8" s="2" t="s">
        <v>311</v>
      </c>
      <c r="B8" s="2"/>
      <c r="C8" s="37" t="n">
        <f aca="false">-'P&amp;L'!C5*Assumptions!$C$100</f>
        <v>-540.8568</v>
      </c>
      <c r="D8" s="37" t="n">
        <f aca="false">-('P&amp;L'!D5-'P&amp;L'!C5)*Assumptions!$C$100</f>
        <v>-5972.289408</v>
      </c>
      <c r="E8" s="37" t="n">
        <f aca="false">-('P&amp;L'!E5-'P&amp;L'!D5)*Assumptions!$C$100</f>
        <v>-26024.197824</v>
      </c>
      <c r="F8" s="37" t="n">
        <f aca="false">-('P&amp;L'!F5-'P&amp;L'!E5)*Assumptions!$C$100</f>
        <v>-73896.5955168</v>
      </c>
      <c r="G8" s="37" t="n">
        <f aca="false">-('P&amp;L'!G5-'P&amp;L'!F5)*Assumptions!$C$100</f>
        <v>-165414.2624928</v>
      </c>
      <c r="H8" s="2"/>
    </row>
    <row r="9" customFormat="false" ht="15" hidden="false" customHeight="false" outlineLevel="0" collapsed="false">
      <c r="A9" s="4" t="s">
        <v>312</v>
      </c>
      <c r="B9" s="2"/>
      <c r="C9" s="38" t="n">
        <f aca="false">SUM(C5:C8)</f>
        <v>-1244822.17104</v>
      </c>
      <c r="D9" s="38" t="n">
        <f aca="false">SUM(D5:D8)</f>
        <v>-2189380.9990144</v>
      </c>
      <c r="E9" s="38" t="n">
        <f aca="false">SUM(E5:E8)</f>
        <v>-3604820.6644096</v>
      </c>
      <c r="F9" s="38" t="n">
        <f aca="false">SUM(F5:F8)</f>
        <v>-5285834.02073664</v>
      </c>
      <c r="G9" s="38" t="n">
        <f aca="false">SUM(G5:G8)</f>
        <v>-6342536.19344493</v>
      </c>
      <c r="H9" s="2"/>
    </row>
    <row r="10" customFormat="false" ht="15" hidden="false" customHeight="false" outlineLevel="0" collapsed="false">
      <c r="A10" s="2" t="s">
        <v>196</v>
      </c>
      <c r="B10" s="2"/>
      <c r="C10" s="9" t="n">
        <f aca="false">Assumptions!C$104</f>
        <v>2000000</v>
      </c>
      <c r="D10" s="9" t="n">
        <f aca="false">Assumptions!D$104</f>
        <v>8000000</v>
      </c>
      <c r="E10" s="9" t="n">
        <f aca="false">Assumptions!E$104</f>
        <v>0</v>
      </c>
      <c r="F10" s="9" t="n">
        <f aca="false">Assumptions!F$104</f>
        <v>15000000</v>
      </c>
      <c r="G10" s="9" t="n">
        <f aca="false">Assumptions!G$104</f>
        <v>0</v>
      </c>
      <c r="H10" s="2"/>
    </row>
    <row r="11" customFormat="false" ht="15" hidden="false" customHeight="false" outlineLevel="0" collapsed="false">
      <c r="A11" s="2" t="s">
        <v>313</v>
      </c>
      <c r="B11" s="2"/>
      <c r="C11" s="37" t="n">
        <f aca="false">C9+C10</f>
        <v>755177.82896</v>
      </c>
      <c r="D11" s="37" t="n">
        <f aca="false">D9+D10</f>
        <v>5810619.0009856</v>
      </c>
      <c r="E11" s="37" t="n">
        <f aca="false">E9+E10</f>
        <v>-3604820.6644096</v>
      </c>
      <c r="F11" s="37" t="n">
        <f aca="false">F9+F10</f>
        <v>9714165.97926336</v>
      </c>
      <c r="G11" s="37" t="n">
        <f aca="false">G9+G10</f>
        <v>-6342536.19344493</v>
      </c>
      <c r="H11" s="2"/>
    </row>
    <row r="12" customFormat="false" ht="15" hidden="false" customHeight="false" outlineLevel="0" collapsed="false">
      <c r="A12" s="2" t="s">
        <v>314</v>
      </c>
      <c r="B12" s="2"/>
      <c r="C12" s="37" t="n">
        <f aca="false">Assumptions!$C$101</f>
        <v>250000</v>
      </c>
      <c r="D12" s="37" t="n">
        <f aca="false">C13</f>
        <v>1005177.82896</v>
      </c>
      <c r="E12" s="37" t="n">
        <f aca="false">D13</f>
        <v>6815796.8299456</v>
      </c>
      <c r="F12" s="37" t="n">
        <f aca="false">E13</f>
        <v>3210976.165536</v>
      </c>
      <c r="G12" s="37" t="n">
        <f aca="false">F13</f>
        <v>12925142.1447994</v>
      </c>
      <c r="H12" s="2"/>
    </row>
    <row r="13" customFormat="false" ht="15" hidden="false" customHeight="false" outlineLevel="0" collapsed="false">
      <c r="A13" s="4" t="s">
        <v>315</v>
      </c>
      <c r="B13" s="2"/>
      <c r="C13" s="38" t="n">
        <f aca="false">C12+C11</f>
        <v>1005177.82896</v>
      </c>
      <c r="D13" s="38" t="n">
        <f aca="false">D12+D11</f>
        <v>6815796.8299456</v>
      </c>
      <c r="E13" s="38" t="n">
        <f aca="false">E12+E11</f>
        <v>3210976.165536</v>
      </c>
      <c r="F13" s="38" t="n">
        <f aca="false">F12+F11</f>
        <v>12925142.1447994</v>
      </c>
      <c r="G13" s="38" t="n">
        <f aca="false">G12+G11</f>
        <v>6582605.95135443</v>
      </c>
      <c r="H13" s="2"/>
    </row>
    <row r="14" customFormat="false" ht="15" hidden="false" customHeight="false" outlineLevel="0" collapsed="false">
      <c r="A14" s="2" t="s">
        <v>316</v>
      </c>
      <c r="B14" s="2"/>
      <c r="C14" s="41" t="n">
        <f aca="false">IF(C13&lt;0,1,0)</f>
        <v>0</v>
      </c>
      <c r="D14" s="41" t="n">
        <f aca="false">IF(D13&lt;0,1,0)</f>
        <v>0</v>
      </c>
      <c r="E14" s="41" t="n">
        <f aca="false">IF(E13&lt;0,1,0)</f>
        <v>0</v>
      </c>
      <c r="F14" s="41" t="n">
        <f aca="false">IF(F13&lt;0,1,0)</f>
        <v>0</v>
      </c>
      <c r="G14" s="41" t="n">
        <f aca="false">IF(G13&lt;0,1,0)</f>
        <v>0</v>
      </c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317</v>
      </c>
      <c r="B16" s="2"/>
      <c r="C16" s="27" t="n">
        <f aca="false">MIN(C13:G13)</f>
        <v>1005177.82896</v>
      </c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318</v>
      </c>
      <c r="B17" s="2"/>
      <c r="C17" s="27" t="n">
        <f aca="false">-MIN(0,C9,C9+D9,C9+D9+E9,C9+D9+E9+F9,C9+D9+E9+F9+G9)</f>
        <v>18667394.0486456</v>
      </c>
      <c r="D17" s="2"/>
      <c r="E17" s="2"/>
      <c r="F17" s="2"/>
      <c r="G17" s="2"/>
      <c r="H17" s="17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"/>
    <col collapsed="false" customWidth="true" hidden="false" outlineLevel="0" max="7" min="3" style="0" width="14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320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321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48</v>
      </c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6"/>
    </row>
    <row r="5" customFormat="false" ht="15" hidden="false" customHeight="false" outlineLevel="0" collapsed="false">
      <c r="A5" s="15" t="s">
        <v>322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2" t="s">
        <v>323</v>
      </c>
      <c r="B6" s="2"/>
      <c r="C6" s="33" t="n">
        <f aca="false">Rollout!C5</f>
        <v>20</v>
      </c>
      <c r="D6" s="33" t="n">
        <f aca="false">Rollout!D5</f>
        <v>80</v>
      </c>
      <c r="E6" s="33" t="n">
        <f aca="false">Rollout!E5</f>
        <v>200</v>
      </c>
      <c r="F6" s="33" t="n">
        <f aca="false">Rollout!F5</f>
        <v>400</v>
      </c>
      <c r="G6" s="33" t="n">
        <f aca="false">Rollout!G5</f>
        <v>700</v>
      </c>
      <c r="H6" s="2"/>
    </row>
    <row r="7" customFormat="false" ht="15" hidden="false" customHeight="false" outlineLevel="0" collapsed="false">
      <c r="A7" s="2" t="s">
        <v>9</v>
      </c>
      <c r="B7" s="2"/>
      <c r="C7" s="33" t="n">
        <f aca="false">Rollout!C7</f>
        <v>20</v>
      </c>
      <c r="D7" s="33" t="n">
        <f aca="false">Rollout!D7</f>
        <v>99.4</v>
      </c>
      <c r="E7" s="33" t="n">
        <f aca="false">Rollout!E7</f>
        <v>296.6</v>
      </c>
      <c r="F7" s="33" t="n">
        <f aca="false">Rollout!F7</f>
        <v>688.8</v>
      </c>
      <c r="G7" s="33" t="n">
        <f aca="false">Rollout!G7</f>
        <v>1371.8</v>
      </c>
      <c r="H7" s="2"/>
    </row>
    <row r="8" customFormat="false" ht="15" hidden="false" customHeight="false" outlineLevel="0" collapsed="false">
      <c r="A8" s="2" t="s">
        <v>212</v>
      </c>
      <c r="B8" s="2"/>
      <c r="C8" s="33" t="n">
        <f aca="false">Rollout!$C$5*'Unit Economics'!$C$10</f>
        <v>4200</v>
      </c>
      <c r="D8" s="33" t="n">
        <f aca="false">Rollout!$C$5*'Unit Economics'!$D$10+Rollout!$D$5*'Unit Economics'!$C$10</f>
        <v>27664</v>
      </c>
      <c r="E8" s="33" t="n">
        <f aca="false">Rollout!$C$5*'Unit Economics'!$E$10+Rollout!$D$5*'Unit Economics'!$D$10+Rollout!$E$5*'Unit Economics'!$C$10</f>
        <v>101416</v>
      </c>
      <c r="F8" s="33" t="n">
        <f aca="false">Rollout!$C$5*'Unit Economics'!$F$10+Rollout!$D$5*'Unit Economics'!$E$10+Rollout!$E$5*'Unit Economics'!$D$10+Rollout!$F$5*'Unit Economics'!$C$10</f>
        <v>276220</v>
      </c>
      <c r="G8" s="33" t="n">
        <f aca="false">Rollout!$C$5*'Unit Economics'!$G$10+Rollout!$D$5*'Unit Economics'!$F$10+Rollout!$E$5*'Unit Economics'!$E$10+Rollout!$F$5*'Unit Economics'!$D$10+Rollout!$G$5*'Unit Economics'!$C$10</f>
        <v>624974</v>
      </c>
      <c r="H8" s="2"/>
    </row>
    <row r="9" customFormat="false" ht="15" hidden="false" customHeight="false" outlineLevel="0" collapsed="false">
      <c r="A9" s="2" t="s">
        <v>324</v>
      </c>
      <c r="B9" s="2"/>
      <c r="C9" s="33" t="n">
        <f aca="false">Rollout!$C$5*'Unit Economics'!$C$12</f>
        <v>1680000</v>
      </c>
      <c r="D9" s="33" t="n">
        <f aca="false">Rollout!$C$5*'Unit Economics'!$D$12+Rollout!$D$5*'Unit Economics'!$C$12</f>
        <v>13238400</v>
      </c>
      <c r="E9" s="33" t="n">
        <f aca="false">Rollout!$C$5*'Unit Economics'!$E$12+Rollout!$D$5*'Unit Economics'!$D$12+Rollout!$E$5*'Unit Economics'!$C$12</f>
        <v>52449600</v>
      </c>
      <c r="F9" s="33" t="n">
        <f aca="false">Rollout!$C$5*'Unit Economics'!$F$12+Rollout!$D$5*'Unit Economics'!$E$12+Rollout!$E$5*'Unit Economics'!$D$12+Rollout!$F$5*'Unit Economics'!$C$12</f>
        <v>148142400</v>
      </c>
      <c r="G9" s="33" t="n">
        <f aca="false">Rollout!$C$5*'Unit Economics'!$G$12+Rollout!$D$5*'Unit Economics'!$F$12+Rollout!$E$5*'Unit Economics'!$E$12+Rollout!$F$5*'Unit Economics'!$D$12+Rollout!$G$5*'Unit Economics'!$C$12</f>
        <v>341644800</v>
      </c>
      <c r="H9" s="2"/>
    </row>
    <row r="10" customFormat="false" ht="15" hidden="false" customHeight="false" outlineLevel="0" collapsed="false">
      <c r="A10" s="15" t="s">
        <v>325</v>
      </c>
      <c r="B10" s="16"/>
      <c r="C10" s="16"/>
      <c r="D10" s="16"/>
      <c r="E10" s="16"/>
      <c r="F10" s="16"/>
      <c r="G10" s="16"/>
      <c r="H10" s="16"/>
    </row>
    <row r="11" customFormat="false" ht="15" hidden="false" customHeight="false" outlineLevel="0" collapsed="false">
      <c r="A11" s="2" t="s">
        <v>326</v>
      </c>
      <c r="B11" s="2"/>
      <c r="C11" s="33" t="n">
        <f aca="false">Rollout!$C$5*'Unit Economics'!$C$17</f>
        <v>109.92</v>
      </c>
      <c r="D11" s="33" t="n">
        <f aca="false">Rollout!$C$5*'Unit Economics'!$D$17+Rollout!$D$5*'Unit Economics'!$C$17</f>
        <v>789.268</v>
      </c>
      <c r="E11" s="33" t="n">
        <f aca="false">Rollout!$C$5*'Unit Economics'!$E$17+Rollout!$D$5*'Unit Economics'!$D$17+Rollout!$E$5*'Unit Economics'!$C$17</f>
        <v>3107.832</v>
      </c>
      <c r="F11" s="33" t="n">
        <f aca="false">Rollout!$C$5*'Unit Economics'!$F$17+Rollout!$D$5*'Unit Economics'!$E$17+Rollout!$E$5*'Unit Economics'!$D$17+Rollout!$F$5*'Unit Economics'!$C$17</f>
        <v>8941.732</v>
      </c>
      <c r="G11" s="33" t="n">
        <f aca="false">Rollout!$C$5*'Unit Economics'!$G$17+Rollout!$D$5*'Unit Economics'!$F$17+Rollout!$E$5*'Unit Economics'!$E$17+Rollout!$F$5*'Unit Economics'!$D$17+Rollout!$G$5*'Unit Economics'!$C$17</f>
        <v>21138.3056</v>
      </c>
      <c r="H11" s="2"/>
    </row>
    <row r="12" customFormat="false" ht="15" hidden="false" customHeight="false" outlineLevel="0" collapsed="false">
      <c r="A12" s="2" t="s">
        <v>327</v>
      </c>
      <c r="B12" s="2"/>
      <c r="C12" s="42" t="n">
        <f aca="false">IF(C11=0,0,(Revenue!C5+Revenue!C6+Revenue!C7)/C11/12)</f>
        <v>9.0509461426492</v>
      </c>
      <c r="D12" s="42" t="n">
        <f aca="false">IF(D11=0,0,(Revenue!D5+Revenue!D6+Revenue!D7)/D11/12)</f>
        <v>14.6726749342429</v>
      </c>
      <c r="E12" s="42" t="n">
        <f aca="false">IF(E11=0,0,(Revenue!E5+Revenue!E6+Revenue!E7)/E11/12)</f>
        <v>17.6454233047346</v>
      </c>
      <c r="F12" s="42" t="n">
        <f aca="false">IF(F11=0,0,(Revenue!F5+Revenue!F6+Revenue!F7)/F11/12)</f>
        <v>19.4599572073956</v>
      </c>
      <c r="G12" s="42" t="n">
        <f aca="false">IF(G11=0,0,(Revenue!G5+Revenue!G6+Revenue!G7)/G11/12)</f>
        <v>20.677289979193</v>
      </c>
      <c r="H12" s="2"/>
    </row>
    <row r="13" customFormat="false" ht="15" hidden="false" customHeight="false" outlineLevel="0" collapsed="false">
      <c r="A13" s="15" t="s">
        <v>328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2" t="s">
        <v>11</v>
      </c>
      <c r="B14" s="2"/>
      <c r="C14" s="37" t="n">
        <f aca="false">'P&amp;L'!C5</f>
        <v>18028.56</v>
      </c>
      <c r="D14" s="37" t="n">
        <f aca="false">'P&amp;L'!D5</f>
        <v>217104.8736</v>
      </c>
      <c r="E14" s="37" t="n">
        <f aca="false">'P&amp;L'!E5</f>
        <v>1084578.1344</v>
      </c>
      <c r="F14" s="37" t="n">
        <f aca="false">'P&amp;L'!F5</f>
        <v>3547797.98496</v>
      </c>
      <c r="G14" s="37" t="n">
        <f aca="false">'P&amp;L'!G5</f>
        <v>9061606.73472</v>
      </c>
      <c r="H14" s="2"/>
    </row>
    <row r="15" customFormat="false" ht="15" hidden="false" customHeight="false" outlineLevel="0" collapsed="false">
      <c r="A15" s="2" t="s">
        <v>329</v>
      </c>
      <c r="B15" s="2"/>
      <c r="C15" s="37" t="n">
        <f aca="false">IF(Rollout!C8=0,0,'P&amp;L'!C5/Rollout!C8)</f>
        <v>1802.856</v>
      </c>
      <c r="D15" s="37" t="n">
        <f aca="false">IF(Rollout!D8=0,0,'P&amp;L'!D5/Rollout!D8)</f>
        <v>3636.59754773869</v>
      </c>
      <c r="E15" s="37" t="n">
        <f aca="false">IF(Rollout!E8=0,0,'P&amp;L'!E5/Rollout!E8)</f>
        <v>5477.66734545454</v>
      </c>
      <c r="F15" s="37" t="n">
        <f aca="false">IF(Rollout!F8=0,0,'P&amp;L'!F5/Rollout!F8)</f>
        <v>7200.72657795819</v>
      </c>
      <c r="G15" s="37" t="n">
        <f aca="false">IF(Rollout!G8=0,0,'P&amp;L'!G5/Rollout!G8)</f>
        <v>8795.11475756576</v>
      </c>
      <c r="H15" s="2"/>
    </row>
    <row r="16" customFormat="false" ht="15" hidden="false" customHeight="false" outlineLevel="0" collapsed="false">
      <c r="A16" s="2" t="s">
        <v>12</v>
      </c>
      <c r="B16" s="2"/>
      <c r="C16" s="34" t="n">
        <f aca="false">'P&amp;L'!C8</f>
        <v>0.558152495817747</v>
      </c>
      <c r="D16" s="34" t="n">
        <f aca="false">'P&amp;L'!D8</f>
        <v>0.77079367597209</v>
      </c>
      <c r="E16" s="34" t="n">
        <f aca="false">'P&amp;L'!E8</f>
        <v>0.841645038989641</v>
      </c>
      <c r="F16" s="34" t="n">
        <f aca="false">'P&amp;L'!F8</f>
        <v>0.875179278962009</v>
      </c>
      <c r="G16" s="34" t="n">
        <f aca="false">'P&amp;L'!G8</f>
        <v>0.89447292180238</v>
      </c>
      <c r="H16" s="2"/>
    </row>
    <row r="17" customFormat="false" ht="15" hidden="false" customHeight="false" outlineLevel="0" collapsed="false">
      <c r="A17" s="2" t="s">
        <v>13</v>
      </c>
      <c r="B17" s="2"/>
      <c r="C17" s="37" t="n">
        <f aca="false">'P&amp;L'!C16</f>
        <v>-1221781.31424</v>
      </c>
      <c r="D17" s="37" t="n">
        <f aca="false">'P&amp;L'!D16</f>
        <v>-2165908.7096064</v>
      </c>
      <c r="E17" s="37" t="n">
        <f aca="false">'P&amp;L'!E16</f>
        <v>-3533796.4665856</v>
      </c>
      <c r="F17" s="37" t="n">
        <f aca="false">'P&amp;L'!F16</f>
        <v>-5134437.42521984</v>
      </c>
      <c r="G17" s="37" t="n">
        <f aca="false">'P&amp;L'!G16</f>
        <v>-6049621.93095213</v>
      </c>
      <c r="H17" s="2"/>
    </row>
    <row r="18" customFormat="false" ht="15" hidden="false" customHeight="false" outlineLevel="0" collapsed="false">
      <c r="A18" s="2" t="s">
        <v>14</v>
      </c>
      <c r="B18" s="2"/>
      <c r="C18" s="34" t="n">
        <f aca="false">'P&amp;L'!C17</f>
        <v>-67.7692125294533</v>
      </c>
      <c r="D18" s="34" t="n">
        <f aca="false">'P&amp;L'!D17</f>
        <v>-9.97632468443306</v>
      </c>
      <c r="E18" s="34" t="n">
        <f aca="false">'P&amp;L'!E17</f>
        <v>-3.25822211835437</v>
      </c>
      <c r="F18" s="34" t="n">
        <f aca="false">'P&amp;L'!F17</f>
        <v>-1.44721809048486</v>
      </c>
      <c r="G18" s="34" t="n">
        <f aca="false">'P&amp;L'!G17</f>
        <v>-0.667610293412172</v>
      </c>
      <c r="H18" s="2"/>
    </row>
    <row r="19" customFormat="false" ht="15" hidden="false" customHeight="false" outlineLevel="0" collapsed="false">
      <c r="A19" s="2" t="s">
        <v>16</v>
      </c>
      <c r="B19" s="2"/>
      <c r="C19" s="37" t="n">
        <f aca="false">'Cash Flow'!C13</f>
        <v>1005177.82896</v>
      </c>
      <c r="D19" s="37" t="n">
        <f aca="false">'Cash Flow'!D13</f>
        <v>6815796.8299456</v>
      </c>
      <c r="E19" s="37" t="n">
        <f aca="false">'Cash Flow'!E13</f>
        <v>3210976.165536</v>
      </c>
      <c r="F19" s="37" t="n">
        <f aca="false">'Cash Flow'!F13</f>
        <v>12925142.1447994</v>
      </c>
      <c r="G19" s="37" t="n">
        <f aca="false">'Cash Flow'!G13</f>
        <v>6582605.95135443</v>
      </c>
      <c r="H19" s="2"/>
    </row>
    <row r="20" customFormat="false" ht="15" hidden="false" customHeight="false" outlineLevel="0" collapsed="false">
      <c r="A20" s="2" t="s">
        <v>330</v>
      </c>
      <c r="B20" s="2"/>
      <c r="C20" s="34" t="n">
        <f aca="false">IF('P&amp;L'!C5=0,0,Costs!C6/'P&amp;L'!C5)</f>
        <v>0.225131679956691</v>
      </c>
      <c r="D20" s="34" t="n">
        <f aca="false">IF('P&amp;L'!D5=0,0,Costs!D6/'P&amp;L'!D5)</f>
        <v>0.111048967258191</v>
      </c>
      <c r="E20" s="34" t="n">
        <f aca="false">IF('P&amp;L'!E5=0,0,Costs!E6/'P&amp;L'!E5)</f>
        <v>0.0735733143321611</v>
      </c>
      <c r="F20" s="34" t="n">
        <f aca="false">IF('P&amp;L'!F5=0,0,Costs!F6/'P&amp;L'!F5)</f>
        <v>0.0559203609791319</v>
      </c>
      <c r="G20" s="34" t="n">
        <f aca="false">IF('P&amp;L'!G5=0,0,Costs!G6/'P&amp;L'!G5)</f>
        <v>0.0457676211450391</v>
      </c>
      <c r="H20" s="17" t="s">
        <v>331</v>
      </c>
    </row>
    <row r="21" customFormat="false" ht="15" hidden="false" customHeight="false" outlineLevel="0" collapsed="false">
      <c r="A21" s="2" t="s">
        <v>332</v>
      </c>
      <c r="B21" s="2"/>
      <c r="C21" s="37" t="n">
        <f aca="false">Costs!C21+Costs!C22+Costs!C23+Costs!C20+Assumptions!C$92+Costs!C25</f>
        <v>1018250</v>
      </c>
      <c r="D21" s="37" t="n">
        <f aca="false">Costs!D21+Costs!D22+Costs!D23+Costs!D20+Assumptions!D$92+Costs!D25</f>
        <v>1717125</v>
      </c>
      <c r="E21" s="37" t="n">
        <f aca="false">Costs!E21+Costs!E22+Costs!E23+Costs!E20+Assumptions!E$92+Costs!E25</f>
        <v>2756628.75</v>
      </c>
      <c r="F21" s="37" t="n">
        <f aca="false">Costs!F21+Costs!F22+Costs!F23+Costs!F20+Assumptions!F$92+Costs!F25</f>
        <v>4241476.4375</v>
      </c>
      <c r="G21" s="37" t="n">
        <f aca="false">Costs!G21+Costs!G22+Costs!G23+Costs!G20+Assumptions!G$92+Costs!G25</f>
        <v>5852241.820375</v>
      </c>
      <c r="H21" s="2"/>
    </row>
    <row r="22" customFormat="false" ht="15" hidden="false" customHeight="false" outlineLevel="0" collapsed="false">
      <c r="A22" s="2" t="s">
        <v>333</v>
      </c>
      <c r="B22" s="2"/>
      <c r="C22" s="37" t="n">
        <f aca="false">Rollout!C7/'Unit Economics'!$G$7*'Unit Economics'!$G$42-C21</f>
        <v>-613580.34690271</v>
      </c>
      <c r="D22" s="37" t="n">
        <f aca="false">Rollout!D7/'Unit Economics'!$G$7*'Unit Economics'!$G$42-D21</f>
        <v>294083.175893533</v>
      </c>
      <c r="E22" s="37" t="n">
        <f aca="false">Rollout!E7/'Unit Economics'!$G$7*'Unit Economics'!$G$42-E21</f>
        <v>3244622.20543282</v>
      </c>
      <c r="F22" s="37" t="n">
        <f aca="false">Rollout!F7/'Unit Economics'!$G$7*'Unit Economics'!$G$42-F21</f>
        <v>9695346.41517068</v>
      </c>
      <c r="G22" s="37" t="n">
        <f aca="false">Rollout!G7/'Unit Economics'!$G$7*'Unit Economics'!$G$42-G21</f>
        <v>21904049.6855681</v>
      </c>
      <c r="H22" s="17" t="s">
        <v>334</v>
      </c>
    </row>
    <row r="23" customFormat="false" ht="15" hidden="false" customHeight="false" outlineLevel="0" collapsed="false">
      <c r="A23" s="2" t="s">
        <v>335</v>
      </c>
      <c r="B23" s="2"/>
      <c r="C23" s="33" t="n">
        <f aca="false">IF('Unit Economics'!$G$42&lt;=0,0,C21/('Unit Economics'!$G$42/'Unit Economics'!$G$7))</f>
        <v>50.3249992781244</v>
      </c>
      <c r="D23" s="33" t="n">
        <f aca="false">IF('Unit Economics'!$G$42&lt;=0,0,D21/('Unit Economics'!$G$42/'Unit Economics'!$G$7))</f>
        <v>84.8655186697269</v>
      </c>
      <c r="E23" s="33" t="n">
        <f aca="false">IF('Unit Economics'!$G$42&lt;=0,0,E21/('Unit Economics'!$G$42/'Unit Economics'!$G$7))</f>
        <v>136.240942650437</v>
      </c>
      <c r="F23" s="33" t="n">
        <f aca="false">IF('Unit Economics'!$G$42&lt;=0,0,F21/('Unit Economics'!$G$42/'Unit Economics'!$G$7))</f>
        <v>209.626612968691</v>
      </c>
      <c r="G23" s="33" t="n">
        <f aca="false">IF('Unit Economics'!$G$42&lt;=0,0,G21/('Unit Economics'!$G$42/'Unit Economics'!$G$7))</f>
        <v>289.235517196937</v>
      </c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15" t="s">
        <v>336</v>
      </c>
      <c r="B25" s="16"/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A26" s="2" t="s">
        <v>337</v>
      </c>
      <c r="B26" s="2"/>
      <c r="C26" s="9" t="n">
        <f aca="false">'Unit Economics'!G25</f>
        <v>26374.633344</v>
      </c>
      <c r="D26" s="2"/>
      <c r="E26" s="2"/>
      <c r="F26" s="2"/>
      <c r="G26" s="2"/>
      <c r="H26" s="2"/>
    </row>
    <row r="27" customFormat="false" ht="15" hidden="false" customHeight="false" outlineLevel="0" collapsed="false">
      <c r="A27" s="2" t="s">
        <v>338</v>
      </c>
      <c r="B27" s="2"/>
      <c r="C27" s="9" t="n">
        <f aca="false">'Unit Economics'!G42</f>
        <v>18817.138869024</v>
      </c>
      <c r="D27" s="2"/>
      <c r="E27" s="2"/>
      <c r="F27" s="2"/>
      <c r="G27" s="2"/>
      <c r="H27" s="2"/>
    </row>
    <row r="28" customFormat="false" ht="15" hidden="false" customHeight="false" outlineLevel="0" collapsed="false">
      <c r="A28" s="2" t="s">
        <v>339</v>
      </c>
      <c r="B28" s="2"/>
      <c r="C28" s="10" t="n">
        <f aca="false">'Unit Economics'!G43</f>
        <v>0.713455941684389</v>
      </c>
      <c r="D28" s="2"/>
      <c r="E28" s="2"/>
      <c r="F28" s="2"/>
      <c r="G28" s="2"/>
      <c r="H28" s="2"/>
    </row>
    <row r="29" customFormat="false" ht="15" hidden="false" customHeight="false" outlineLevel="0" collapsed="false">
      <c r="A29" s="2" t="s">
        <v>340</v>
      </c>
      <c r="B29" s="2"/>
      <c r="C29" s="9" t="n">
        <f aca="false">'Unit Economics'!C44</f>
        <v>1540</v>
      </c>
      <c r="D29" s="2"/>
      <c r="E29" s="2"/>
      <c r="F29" s="2"/>
      <c r="G29" s="2"/>
      <c r="H29" s="2"/>
    </row>
    <row r="30" customFormat="false" ht="15" hidden="false" customHeight="false" outlineLevel="0" collapsed="false">
      <c r="A30" s="2" t="s">
        <v>341</v>
      </c>
      <c r="B30" s="2"/>
      <c r="C30" s="41" t="n">
        <f aca="false">IFERROR(MATCH(TRUE(),INDEX('Unit Economics'!C45:G45&gt;0,0),0),"After Age 5")</f>
        <v>3</v>
      </c>
      <c r="D30" s="2"/>
      <c r="E30" s="2"/>
      <c r="F30" s="2"/>
      <c r="G30" s="2"/>
      <c r="H30" s="17" t="s">
        <v>342</v>
      </c>
    </row>
    <row r="31" customFormat="false" ht="15" hidden="false" customHeight="false" outlineLevel="0" collapsed="false">
      <c r="A31" s="2" t="s">
        <v>343</v>
      </c>
      <c r="B31" s="2"/>
      <c r="C31" s="2" t="str">
        <f aca="false">IFERROR(INDEX(C4:G4,MATCH(TRUE(),INDEX(C17:G17&gt;0,0),0)),"Not by FY2031")</f>
        <v>Not by FY2031</v>
      </c>
      <c r="D31" s="2"/>
      <c r="E31" s="2"/>
      <c r="F31" s="2"/>
      <c r="G31" s="2"/>
      <c r="H31" s="2"/>
    </row>
    <row r="32" customFormat="false" ht="15" hidden="false" customHeight="false" outlineLevel="0" collapsed="false">
      <c r="A32" s="2" t="s">
        <v>344</v>
      </c>
      <c r="B32" s="2"/>
      <c r="C32" s="9" t="n">
        <f aca="false">'Cash Flow'!C17</f>
        <v>18667394.0486456</v>
      </c>
      <c r="D32" s="2"/>
      <c r="E32" s="2"/>
      <c r="F32" s="2"/>
      <c r="G32" s="2"/>
      <c r="H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2026-10-17T00:27:16Z</dcterms:created>
  <dc:creator>openpyxl</dc:creator>
  <dc:description/>
  <dc:language>en-US</dc:language>
  <cp:lastModifiedBy/>
  <dcterms:modified xsi:type="dcterms:W3CDTF">2026-10-17T00:27:16Z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