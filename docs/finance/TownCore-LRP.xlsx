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Rollout" sheetId="3" state="visible" r:id="rId5"/>
    <sheet name="Unit Economics" sheetId="4" state="visible" r:id="rId6"/>
    <sheet name="Monthly" sheetId="5" state="visible" r:id="rId7"/>
    <sheet name="Revenue" sheetId="6" state="visible" r:id="rId8"/>
    <sheet name="Headcount" sheetId="7" state="visible" r:id="rId9"/>
    <sheet name="Costs" sheetId="8" state="visible" r:id="rId10"/>
    <sheet name="P&amp;L" sheetId="9" state="visible" r:id="rId11"/>
    <sheet name="Cash Flow" sheetId="10" state="visible" r:id="rId12"/>
    <sheet name="KPIs"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<sst xmlns="http://schemas.openxmlformats.org/spreadsheetml/2006/main" count="653" uniqueCount="462">
  <si>
    <t xml:space="preserve">TownCore long-range plan, FY2027-FY2031</t>
  </si>
  <si>
    <t xml:space="preserve">AI-written local news sites with a daily newsletter and a local business directory.</t>
  </si>
  <si>
    <t xml:space="preserve">Scenario in use</t>
  </si>
  <si>
    <t xml:space="preserve">Summary</t>
  </si>
  <si>
    <t xml:space="preserve">2027</t>
  </si>
  <si>
    <t xml:space="preserve">2028</t>
  </si>
  <si>
    <t xml:space="preserve">2029</t>
  </si>
  <si>
    <t xml:space="preserve">2030</t>
  </si>
  <si>
    <t xml:space="preserve">2031</t>
  </si>
  <si>
    <t xml:space="preserve">Live towns at year end</t>
  </si>
  <si>
    <t xml:space="preserve">Newsletter subscribers</t>
  </si>
  <si>
    <t xml:space="preserve">Revenue ($)</t>
  </si>
  <si>
    <t xml:space="preserve">Gross margin</t>
  </si>
  <si>
    <t xml:space="preserve">EBITDA ($)</t>
  </si>
  <si>
    <t xml:space="preserve">EBITDA margin</t>
  </si>
  <si>
    <t xml:space="preserve">Net income ($)</t>
  </si>
  <si>
    <t xml:space="preserve">Closing cash ($)</t>
  </si>
  <si>
    <t xml:space="preserve">Lowest month-end cash ($)</t>
  </si>
  <si>
    <t xml:space="preserve">Paid staff at year end (FTE; founders unpaid)</t>
  </si>
  <si>
    <t xml:space="preserve">Run-rate EBITDA at maturity ($)</t>
  </si>
  <si>
    <t xml:space="preserve">How to use</t>
  </si>
  <si>
    <t xml:space="preserve">1. Change inputs only on the Assumptions tab: blue text is an input, yellow fill a key assumption.</t>
  </si>
  <si>
    <t xml:space="preserve">2. Switch scenarios with Assumptions "Active scenario" (1 Downside, 2 Base, 3 Upside).</t>
  </si>
  <si>
    <t xml:space="preserve">3. Black text is a formula; green text links to another tab. Don't overwrite formulas.</t>
  </si>
  <si>
    <t xml:space="preserve">4. Bootstrapped (owner, 2026-10-17): about $5k of opening cash, no outside money, founders unpaid. The Monthly sheet launches each month only what last month's cash allows (keeping the cash floor and a buffer) and only while no needed work is unfunded; staff are paid out of revenue.</t>
  </si>
  <si>
    <t xml:space="preserve">5. Unit Economics shows one average town by age (Age 1 = launch year). The Monthly sheet multiplies it by the towns launched in each month; Revenue, Costs and Cash Flow sum the months.</t>
  </si>
  <si>
    <t xml:space="preserve">6. Prices, story budgets, AI caps and directory counts come from the TownCore repo (CLAUDE.md and town config); everything marked "Estimate" in Assumptions column H is a planning assumption to validate.</t>
  </si>
  <si>
    <t xml:space="preserve">7. Not modeled: programmatic consent costs, a licensed sports-data feed (not yet bought), office space, debt, and acquisitions.</t>
  </si>
  <si>
    <t xml:space="preserve">Color legend</t>
  </si>
  <si>
    <t xml:space="preserve">Input</t>
  </si>
  <si>
    <t xml:space="preserve">Key assumption</t>
  </si>
  <si>
    <t xml:space="preserve">Formula</t>
  </si>
  <si>
    <t xml:space="preserve">Link to another tab</t>
  </si>
  <si>
    <t xml:space="preserve">TownCore LRP: assumptions</t>
  </si>
  <si>
    <t xml:space="preserve">Blue = input you can change. Yellow = key assumption. Every other tab is formulas over this one. Columns C-G are years (2027-2031) or a town's age in years (Age 1 = launch year), as each block's header says.</t>
  </si>
  <si>
    <t xml:space="preserve">Scenario</t>
  </si>
  <si>
    <t xml:space="preserve">Active scenario (1 = Downside, 2 = Base, 3 = Upside)</t>
  </si>
  <si>
    <t xml:space="preserve">Pick 1, 2 or 3. The multipliers below scale launches, audience, monetization and unit costs.</t>
  </si>
  <si>
    <t xml:space="preserve">Downside</t>
  </si>
  <si>
    <t xml:space="preserve">Base</t>
  </si>
  <si>
    <t xml:space="preserve">Upside</t>
  </si>
  <si>
    <t xml:space="preserve">Active</t>
  </si>
  <si>
    <t xml:space="preserve">Town launches multiplier</t>
  </si>
  <si>
    <t xml:space="preserve">Scales the launch schedule.</t>
  </si>
  <si>
    <t xml:space="preserve">Audience multiplier</t>
  </si>
  <si>
    <t xml:space="preserve">Scales subscriber penetration and pageviews.</t>
  </si>
  <si>
    <t xml:space="preserve">Monetization multiplier</t>
  </si>
  <si>
    <t xml:space="preserve">Scales fill, sell-through and conversion rates.</t>
  </si>
  <si>
    <t xml:space="preserve">Unit cost multiplier</t>
  </si>
  <si>
    <t xml:space="preserve">Scales per-town direct costs and launch costs.</t>
  </si>
  <si>
    <t xml:space="preserve">Launch capacity: how many towns can launch, and how fast</t>
  </si>
  <si>
    <t xml:space="preserve">US towns with more than 2,000 people</t>
  </si>
  <si>
    <t xml:space="preserve">towns</t>
  </si>
  <si>
    <t xml:space="preserve">Owner plan (2026-10-17): every US town over 2,000 people. Census Vintage 2025 (sub-est2025.csv): 7,683 incorporated places (SUMLEV 162; Florida 295) plus 750 New England towns (active county subdivisions with no place of their own).</t>
  </si>
  <si>
    <t xml:space="preserve">Share that pass readiness (Rule 7)</t>
  </si>
  <si>
    <t xml:space="preserve">Owner, 2026-10-17: every town in America can make 3 real items a day; Rule 7 is the target we build sources toward. Today Boca makes about 0.8 a day and Delray 0.53, so the source work continues. Set lower to see the plan if some towns stay short.</t>
  </si>
  <si>
    <t xml:space="preserve">Share allowed by the naming rule</t>
  </si>
  <si>
    <t xml:space="preserve">Owner, 2026-10-17: naming never stops a launch. 22 patterns; a neighbor's pattern is used only when nothing else is left.</t>
  </si>
  <si>
    <t xml:space="preserve">Fiscal year</t>
  </si>
  <si>
    <t xml:space="preserve">Launches the team can do in a year</t>
  </si>
  <si>
    <t xml:space="preserve">About 250 a month: the launcher is automated, each launch needs ~45 minutes of people (approval, Facebook page, Google Publisher Center). A pacing choice too: launching hundreds of AI-written sites at once invites Google's scaled-content review. Scaled by the launch multiplier.</t>
  </si>
  <si>
    <t xml:space="preserve">Launches per launch operator per year</t>
  </si>
  <si>
    <t xml:space="preserve">~45 minutes of hands-on work per launch, plus fixes and follow-up. Estimate.</t>
  </si>
  <si>
    <t xml:space="preserve">Town size mix and size-driven inputs (CLAUDE.md §5 tiers)</t>
  </si>
  <si>
    <t xml:space="preserve">Small</t>
  </si>
  <si>
    <t xml:space="preserve">Mid</t>
  </si>
  <si>
    <t xml:space="preserve">Large</t>
  </si>
  <si>
    <t xml:space="preserve">Weighted</t>
  </si>
  <si>
    <t xml:space="preserve">Share of launches</t>
  </si>
  <si>
    <t xml:space="preserve">Census 2025, towns over 2,000: 7,067 under 30,000 (small, incl. the 750 New England towns), 1,023 of 30,000-100,000 (mid), 343 of 100,000+ (large); tiers from packages/config/src/launch.ts.</t>
  </si>
  <si>
    <t xml:space="preserve">Households per town</t>
  </si>
  <si>
    <t xml:space="preserve">Mean town population by tier (8,397 / 53,365 / 185,762, Census 2025, each town capped at 300,000) / ~2.5 people a household. Revenue scales with households, so the mean is used.</t>
  </si>
  <si>
    <t xml:space="preserve">Directory listings per town</t>
  </si>
  <si>
    <t xml:space="preserve">Boca live data 2026-10-16: 2,334 active listings (1,979 state licenses + 355 mapped). Small and mid scaled down; estimate.</t>
  </si>
  <si>
    <t xml:space="preserve">Stories per day (story budget)</t>
  </si>
  <si>
    <t xml:space="preserve">CLAUDE.md D-M3-7: daily story budget 3 / 6 / 10 by tier.</t>
  </si>
  <si>
    <t xml:space="preserve">Town sponsor banner price ($/month)</t>
  </si>
  <si>
    <t xml:space="preserve">Direct-sold home.top sponsor (§11b). Estimate; local banner rates vary widely.</t>
  </si>
  <si>
    <t xml:space="preserve">Audience (by town age; Age 1 = launch year)</t>
  </si>
  <si>
    <t xml:space="preserve">Town age</t>
  </si>
  <si>
    <t xml:space="preserve">Age 1</t>
  </si>
  <si>
    <t xml:space="preserve">Age 2</t>
  </si>
  <si>
    <t xml:space="preserve">Age 3</t>
  </si>
  <si>
    <t xml:space="preserve">Age 4</t>
  </si>
  <si>
    <t xml:space="preserve">Age 5</t>
  </si>
  <si>
    <t xml:space="preserve">Newsletter subscribers as % of households</t>
  </si>
  <si>
    <t xml:space="preserve">Estimate. Mature local newsletters report reaching roughly 5-15% of households; scaled by the audience multiplier.</t>
  </si>
  <si>
    <t xml:space="preserve">Monthly pageviews per household</t>
  </si>
  <si>
    <t xml:space="preserve">Estimate; driven by search, Facebook and the daily newsletter. Scaled by audience multiplier.</t>
  </si>
  <si>
    <t xml:space="preserve">Share of launched towns still live</t>
  </si>
  <si>
    <t xml:space="preserve">Rule 7: towns that fall below readiness are paused. Estimate.</t>
  </si>
  <si>
    <t xml:space="preserve">Monetization (by town age)</t>
  </si>
  <si>
    <t xml:space="preserve">Featured directory spots filled (% of 3 per category)</t>
  </si>
  <si>
    <t xml:space="preserve">Estimate. Spots #1/#2/#3 per category (§11). Scaled by monetization multiplier.</t>
  </si>
  <si>
    <t xml:space="preserve">Listings claimed (cumulative %)</t>
  </si>
  <si>
    <t xml:space="preserve">Estimate; claim flow by email confirmation (M6).</t>
  </si>
  <si>
    <t xml:space="preserve">Claimed listings buying Enhanced (%)</t>
  </si>
  <si>
    <t xml:space="preserve">Estimate. Scaled by monetization multiplier.</t>
  </si>
  <si>
    <t xml:space="preserve">Newsletter sponsorship sell-through</t>
  </si>
  <si>
    <t xml:space="preserve">Share of issues with a paid presenting sponsor (§11b newsletter.top). Estimate.</t>
  </si>
  <si>
    <t xml:space="preserve">Town sponsor banner sell-through</t>
  </si>
  <si>
    <t xml:space="preserve">Share of months the home.top banner is direct-sold. Estimate.</t>
  </si>
  <si>
    <t xml:space="preserve">Category sponsorships sold (% of categories)</t>
  </si>
  <si>
    <t xml:space="preserve">category.sponsor / exclusive (§11b); built but off at launch (D-M6-6), so Age 1 = 0.</t>
  </si>
  <si>
    <t xml:space="preserve">Programmatic ads switched on (1 = yes)</t>
  </si>
  <si>
    <t xml:space="preserve">Gated: only after a town passes Gate 2 with steady traffic (§11b). Assumed from Age 3.</t>
  </si>
  <si>
    <t xml:space="preserve">Prices and rates</t>
  </si>
  <si>
    <t xml:space="preserve">Directory categories per town</t>
  </si>
  <si>
    <t xml:space="preserve">count</t>
  </si>
  <si>
    <t xml:space="preserve">packages/config/src/directory.ts lists 28 categories.</t>
  </si>
  <si>
    <t xml:space="preserve">Featured spots #1 + #2 + #3 per category</t>
  </si>
  <si>
    <t xml:space="preserve">$/month</t>
  </si>
  <si>
    <t xml:space="preserve">Town config pricing.featured_usd [19, 12, 7] (owner, 2026-10-16).</t>
  </si>
  <si>
    <t xml:space="preserve">Free trial on a first featured spot</t>
  </si>
  <si>
    <t xml:space="preserve">days</t>
  </si>
  <si>
    <t xml:space="preserve">Town config free_trial_days: 30.</t>
  </si>
  <si>
    <t xml:space="preserve">Revenue lost to trials (share of featured revenue)</t>
  </si>
  <si>
    <t xml:space="preserve">Estimate: one free month per new spot over an average spot life of about a year.</t>
  </si>
  <si>
    <t xml:space="preserve">Enhanced listing price</t>
  </si>
  <si>
    <t xml:space="preserve">Town config pricing.enhanced_usd: 39.</t>
  </si>
  <si>
    <t xml:space="preserve">Category sponsorship price</t>
  </si>
  <si>
    <t xml:space="preserve">Estimate; price not yet set by the owner (M6 open item).</t>
  </si>
  <si>
    <t xml:space="preserve">Newsletter issues per year</t>
  </si>
  <si>
    <t xml:space="preserve">issues</t>
  </si>
  <si>
    <t xml:space="preserve">Daily, but thin days are skipped (D-M5-1); estimate.</t>
  </si>
  <si>
    <t xml:space="preserve">Newsletter sponsorship CPM</t>
  </si>
  <si>
    <t xml:space="preserve">$/1,000 subs</t>
  </si>
  <si>
    <t xml:space="preserve">Estimate for local newsletter sponsorships; verify with first sales.</t>
  </si>
  <si>
    <t xml:space="preserve">Programmatic revenue per 1,000 pageviews</t>
  </si>
  <si>
    <t xml:space="preserve">$ RPM</t>
  </si>
  <si>
    <t xml:space="preserve">Estimate for a local news site after Gate 2.</t>
  </si>
  <si>
    <t xml:space="preserve">Pageviews with programmatic ads</t>
  </si>
  <si>
    <t xml:space="preserve">Share of pageviews where the rail and inline slots are not direct-sold. Estimate.</t>
  </si>
  <si>
    <t xml:space="preserve">Direct costs per town</t>
  </si>
  <si>
    <t xml:space="preserve">AI cost per published story</t>
  </si>
  <si>
    <t xml:space="preserve">$/story</t>
  </si>
  <si>
    <t xml:space="preserve">Writer, separate fact-check and an AI review pass (owner: article review becomes an AI agent). Measured ~$0.10 for writer + fact-check on repo pricing; verify against current Anthropic pricing (CLAUDE.md §8). Scaled by unit cost multiplier.</t>
  </si>
  <si>
    <t xml:space="preserve">AI overhead per town per day</t>
  </si>
  <si>
    <t xml:space="preserve">$/day</t>
  </si>
  <si>
    <t xml:space="preserve">Classification, revisions, guides, entity extraction. Estimate.</t>
  </si>
  <si>
    <t xml:space="preserve">AI spend cap per town per day</t>
  </si>
  <si>
    <t xml:space="preserve">CLAUDE.md D-M3-7: $5 daily cap per town, enforced in code.</t>
  </si>
  <si>
    <t xml:space="preserve">Hosting, database and data per town</t>
  </si>
  <si>
    <t xml:space="preserve">Vercel, Railway Postgres share, storage, maps. Estimate.</t>
  </si>
  <si>
    <t xml:space="preserve">Email sending (Amazon SES)</t>
  </si>
  <si>
    <t xml:space="preserve">$/1,000</t>
  </si>
  <si>
    <t xml:space="preserve">AWS SES list price per 1,000 emails; verify at aws.amazon.com/ses/pricing.</t>
  </si>
  <si>
    <t xml:space="preserve">Card processing, % of directory revenue</t>
  </si>
  <si>
    <t xml:space="preserve">Stripe standard US card rate 2.9% + $0.30; verify at stripe.com/pricing.</t>
  </si>
  <si>
    <t xml:space="preserve">Card processing, fixed per charge</t>
  </si>
  <si>
    <t xml:space="preserve">$/charge</t>
  </si>
  <si>
    <t xml:space="preserve">Stripe standard US.</t>
  </si>
  <si>
    <t xml:space="preserve">Domain renewal per town</t>
  </si>
  <si>
    <t xml:space="preserve">$/year</t>
  </si>
  <si>
    <t xml:space="preserve">Estimate.</t>
  </si>
  <si>
    <t xml:space="preserve">AI cost per launch</t>
  </si>
  <si>
    <t xml:space="preserve">$/launch</t>
  </si>
  <si>
    <t xml:space="preserve">CLAUDE.md D-M7-11: $25 of AI per launch.</t>
  </si>
  <si>
    <t xml:space="preserve">Domain purchase per launch</t>
  </si>
  <si>
    <t xml:space="preserve">Launch audience seeding (paid social)</t>
  </si>
  <si>
    <t xml:space="preserve">Owner, 2026-10-17: bootstrapped, no paid launch seeding (was $1,500 a launch). Audience comes from search, the town Facebook page and the newsletter.</t>
  </si>
  <si>
    <t xml:space="preserve">Paid cost per new subscriber</t>
  </si>
  <si>
    <t xml:space="preserve">$/subscriber</t>
  </si>
  <si>
    <t xml:space="preserve">Share of new subscribers acquired with paid ads</t>
  </si>
  <si>
    <t xml:space="preserve">Bootstrapped: no paid acquisition. Subscribers arrive from search, Facebook shares, the sites' sign-up prompts and word of mouth.</t>
  </si>
  <si>
    <t xml:space="preserve">People (fully loaded = salary x (1 + benefits load))</t>
  </si>
  <si>
    <t xml:space="preserve">Benefits and payroll tax load</t>
  </si>
  <si>
    <t xml:space="preserve">Annual salary increase</t>
  </si>
  <si>
    <t xml:space="preserve">Sales commission on direct-sold revenue</t>
  </si>
  <si>
    <t xml:space="preserve">Owner: advertisers sign up and pay on the site; no commissioned sales force.</t>
  </si>
  <si>
    <t xml:space="preserve">Towns per editorial standards editor</t>
  </si>
  <si>
    <t xml:space="preserve">Owner, 2026-10-17: article review becomes an AI agent once we trust it. A small team audits the agent, handles corrections and reader reports. Until the agent ships, Tier 3 still needs a person (Rule 5).</t>
  </si>
  <si>
    <t xml:space="preserve">Towns per advertiser partnerships manager</t>
  </si>
  <si>
    <t xml:space="preserve">Owner, 2026-10-17: sales are self-serve on the site. A small team handles regional and multi-town advertisers.</t>
  </si>
  <si>
    <t xml:space="preserve">Towns per support and success rep</t>
  </si>
  <si>
    <t xml:space="preserve">Founder time for operations</t>
  </si>
  <si>
    <t xml:space="preserve">FTE</t>
  </si>
  <si>
    <t xml:space="preserve">Owner, 2026-10-17: founders take no salary, at any point. Full-time equivalents of founder time for support, review and launches; it covers the first needed FTEs at $0. Input: confirm.</t>
  </si>
  <si>
    <t xml:space="preserve">Paid staff budget, share of last month's revenue</t>
  </si>
  <si>
    <t xml:space="preserve">Bootstrapped hiring rule: staff are hired only out of revenue. Needed work beyond founder time is paid up to this share of the previous month's revenue, and never more than last month's profit before staff; the rest shows as unfunded FTE, and no town launches while any is unfunded.</t>
  </si>
  <si>
    <t xml:space="preserve">Base salaries (2027 $)</t>
  </si>
  <si>
    <t xml:space="preserve">Leadership (hires beyond the founders)</t>
  </si>
  <si>
    <t xml:space="preserve">Estimate. Founders are unpaid and not counted here.</t>
  </si>
  <si>
    <t xml:space="preserve">Engineering</t>
  </si>
  <si>
    <t xml:space="preserve">Editorial standards and launch operations</t>
  </si>
  <si>
    <t xml:space="preserve">Advertiser partnerships</t>
  </si>
  <si>
    <t xml:space="preserve">Support and success</t>
  </si>
  <si>
    <t xml:space="preserve">Finance, legal and operations</t>
  </si>
  <si>
    <t xml:space="preserve">Central hires wanted (by fiscal year; paid only when the staff budget allows)</t>
  </si>
  <si>
    <t xml:space="preserve">Leadership (not founders)</t>
  </si>
  <si>
    <t xml:space="preserve">people</t>
  </si>
  <si>
    <t xml:space="preserve">Plan; founders lead unpaid.</t>
  </si>
  <si>
    <t xml:space="preserve">Engineering and product</t>
  </si>
  <si>
    <t xml:space="preserve">Plan; founders and Claude Code build until revenue pays for engineers.</t>
  </si>
  <si>
    <t xml:space="preserve">Plan.</t>
  </si>
  <si>
    <t xml:space="preserve">Other operating costs (by fiscal year)</t>
  </si>
  <si>
    <t xml:space="preserve">Legal and media liability insurance (fixed)</t>
  </si>
  <si>
    <t xml:space="preserve">$</t>
  </si>
  <si>
    <t xml:space="preserve">Media liability matters for a publisher (§2). Starts with a small policy and grows with the network. Estimate: get a quote.</t>
  </si>
  <si>
    <t xml:space="preserve">Corporate marketing, share of revenue</t>
  </si>
  <si>
    <t xml:space="preserve">Bootstrapped: advertiser marketing paid out of revenue, not ahead of it. Estimate.</t>
  </si>
  <si>
    <t xml:space="preserve">Fixed platform costs</t>
  </si>
  <si>
    <t xml:space="preserve">Vercel Pro, Railway base and other subscriptions before any town (per-town hosting is separate). Estimate: check against the bills.</t>
  </si>
  <si>
    <t xml:space="preserve">Legal and insurance per live town</t>
  </si>
  <si>
    <t xml:space="preserve">$/town/year</t>
  </si>
  <si>
    <t xml:space="preserve">Software and tools per employee</t>
  </si>
  <si>
    <t xml:space="preserve">Equipment per new hire (capex)</t>
  </si>
  <si>
    <t xml:space="preserve">$/hire</t>
  </si>
  <si>
    <t xml:space="preserve">Equipment depreciation life</t>
  </si>
  <si>
    <t xml:space="preserve">years</t>
  </si>
  <si>
    <t xml:space="preserve">Straight line.</t>
  </si>
  <si>
    <t xml:space="preserve">Finance</t>
  </si>
  <si>
    <t xml:space="preserve">Income tax rate</t>
  </si>
  <si>
    <t xml:space="preserve">Federal 21% plus state, simplified; losses carried forward.</t>
  </si>
  <si>
    <t xml:space="preserve">Net working capital, % of revenue</t>
  </si>
  <si>
    <t xml:space="preserve">Stripe settles in days; mostly prepaid monthly plans. Estimate.</t>
  </si>
  <si>
    <t xml:space="preserve">Opening cash, start of FY2027</t>
  </si>
  <si>
    <t xml:space="preserve">Owner, 2026-10-17: about $5k in cash; bootstrapped, no outside money.</t>
  </si>
  <si>
    <t xml:space="preserve">Minimum cash kept in the bank</t>
  </si>
  <si>
    <t xml:space="preserve">Launches stop before cash would fall below this. Input.</t>
  </si>
  <si>
    <t xml:space="preserve">Months of fixed costs and staff kept in the bank</t>
  </si>
  <si>
    <t xml:space="preserve">months</t>
  </si>
  <si>
    <t xml:space="preserve">Launches stop unless cash covers the floor, this many months of fixed costs and paid staff, and every young town's remaining burn until it pays its own way (Monthly sheet).</t>
  </si>
  <si>
    <t xml:space="preserve">Equity raised</t>
  </si>
  <si>
    <t xml:space="preserve">Owner, 2026-10-17: bootstrapped, no outside money. Added in the first month of its year.</t>
  </si>
  <si>
    <t xml:space="preserve">Town rollout</t>
  </si>
  <si>
    <t xml:space="preserve">Launches by year and live towns, from the Monthly sheet.</t>
  </si>
  <si>
    <t xml:space="preserve">New towns launched</t>
  </si>
  <si>
    <t xml:space="preserve">Each month launches what last month's cash and people allow (Monthly sheet).</t>
  </si>
  <si>
    <t xml:space="preserve">Cumulative towns launched</t>
  </si>
  <si>
    <t xml:space="preserve">Average live towns in year</t>
  </si>
  <si>
    <t xml:space="preserve">Launch capacity not used (cash or people)</t>
  </si>
  <si>
    <t xml:space="preserve">Capacity the team has but cash or unpaid work holds back.</t>
  </si>
  <si>
    <t xml:space="preserve">Launchable towns (pool)</t>
  </si>
  <si>
    <t xml:space="preserve">Towns over 2,000 people x readiness pass rate x naming rule (x launch multiplier).</t>
  </si>
  <si>
    <t xml:space="preserve">Pool left at year end</t>
  </si>
  <si>
    <t xml:space="preserve">Unit economics: one average launched town, by age</t>
  </si>
  <si>
    <t xml:space="preserve">Age 1 is the launch year (half a year live on average). Values per launched town, already weighted by the share of towns still live. Network totals on Revenue and Costs multiply these by each year's launch cohorts.</t>
  </si>
  <si>
    <t xml:space="preserve">Time live and survival</t>
  </si>
  <si>
    <t xml:space="preserve">Share of the year live</t>
  </si>
  <si>
    <t xml:space="preserve">Launches spread across the year, so a town is live about half its launch year.</t>
  </si>
  <si>
    <t xml:space="preserve">Live town-years per launched town</t>
  </si>
  <si>
    <t xml:space="preserve">Audience</t>
  </si>
  <si>
    <t xml:space="preserve">Newsletter subscribers (year end)</t>
  </si>
  <si>
    <t xml:space="preserve">New subscribers in the year</t>
  </si>
  <si>
    <t xml:space="preserve">Pageviews in the year</t>
  </si>
  <si>
    <t xml:space="preserve">Directory</t>
  </si>
  <si>
    <t xml:space="preserve">Featured spots sold (average)</t>
  </si>
  <si>
    <t xml:space="preserve">Enhanced listings (average)</t>
  </si>
  <si>
    <t xml:space="preserve">Category sponsorships (average)</t>
  </si>
  <si>
    <t xml:space="preserve">Paying directory businesses (average)</t>
  </si>
  <si>
    <t xml:space="preserve">Counts each paid product once; a business can hold more than one.</t>
  </si>
  <si>
    <t xml:space="preserve">Revenue per launched town ($)</t>
  </si>
  <si>
    <t xml:space="preserve">Featured directory spots</t>
  </si>
  <si>
    <t xml:space="preserve">Spots x average price ($38 / 3) x 12, less free-trial months.</t>
  </si>
  <si>
    <t xml:space="preserve">Enhanced listings</t>
  </si>
  <si>
    <t xml:space="preserve">Category sponsorships</t>
  </si>
  <si>
    <t xml:space="preserve">Newsletter sponsorships</t>
  </si>
  <si>
    <t xml:space="preserve">Subscribers / 1,000 x CPM x issues x sell-through.</t>
  </si>
  <si>
    <t xml:space="preserve">Town sponsor banner</t>
  </si>
  <si>
    <t xml:space="preserve">Programmatic display</t>
  </si>
  <si>
    <t xml:space="preserve">Total revenue per launched town</t>
  </si>
  <si>
    <t xml:space="preserve">  of which directory (self-serve, Stripe)</t>
  </si>
  <si>
    <t xml:space="preserve">  of which direct-sold (commissionable)</t>
  </si>
  <si>
    <t xml:space="preserve">Direct costs per launched town ($)</t>
  </si>
  <si>
    <t xml:space="preserve">AI (writing and fact-checking)</t>
  </si>
  <si>
    <t xml:space="preserve">Stories a day x cost a story + overhead, capped at the daily cap.</t>
  </si>
  <si>
    <t xml:space="preserve">Hosting, database and data</t>
  </si>
  <si>
    <t xml:space="preserve">Email sending</t>
  </si>
  <si>
    <t xml:space="preserve">Card processing</t>
  </si>
  <si>
    <t xml:space="preserve">Domain renewal</t>
  </si>
  <si>
    <t xml:space="preserve">Bought at launch (launch costs); renewed from Age 2.</t>
  </si>
  <si>
    <t xml:space="preserve">Total direct costs</t>
  </si>
  <si>
    <t xml:space="preserve">Gross profit per launched town</t>
  </si>
  <si>
    <t xml:space="preserve">Town-level people and acquisition costs ($)</t>
  </si>
  <si>
    <t xml:space="preserve">Editorial standards (share)</t>
  </si>
  <si>
    <t xml:space="preserve">Advertiser partnerships (share) + commission</t>
  </si>
  <si>
    <t xml:space="preserve">Support and success (share)</t>
  </si>
  <si>
    <t xml:space="preserve">Paid subscriber acquisition</t>
  </si>
  <si>
    <t xml:space="preserve">Town contribution (before central costs)</t>
  </si>
  <si>
    <t xml:space="preserve">Contribution margin</t>
  </si>
  <si>
    <t xml:space="preserve">One-time launch cost (Age 1 only)</t>
  </si>
  <si>
    <t xml:space="preserve">Cumulative contribution after launch cost</t>
  </si>
  <si>
    <t xml:space="preserve">Payback: the first age where this turns positive.</t>
  </si>
  <si>
    <t xml:space="preserve">Note: rows are expected values per launched town (survival-weighted), so a surviving mature town earns slightly more than Age 5 shows.</t>
  </si>
  <si>
    <t xml:space="preserve">Monthly cash engine (bootstrapped)</t>
  </si>
  <si>
    <t xml:space="preserve">Launches each month are limited by last month's cash and by staff the revenue can pay for. Founders are unpaid. Every annual tab sums these months.</t>
  </si>
  <si>
    <t xml:space="preserve">Per launched town, per live month (from Unit Economics)</t>
  </si>
  <si>
    <t xml:space="preserve">Share still live</t>
  </si>
  <si>
    <t xml:space="preserve">Total revenue</t>
  </si>
  <si>
    <t xml:space="preserve">AI</t>
  </si>
  <si>
    <t xml:space="preserve">Pageviews</t>
  </si>
  <si>
    <t xml:space="preserve">Paid directory products</t>
  </si>
  <si>
    <t xml:space="preserve">Age 1 ramp: share of the Age 1 monthly value, by month of life (1-12)</t>
  </si>
  <si>
    <t xml:space="preserve">Estimate: revenue and audience start at zero (free trials, no readers yet) and grow evenly through the launch year, averaging the Age 1 value. Costs start in full.</t>
  </si>
  <si>
    <t xml:space="preserve">One-time launch cost</t>
  </si>
  <si>
    <t xml:space="preserve">New town cash burn, by month of life (1-12)</t>
  </si>
  <si>
    <t xml:space="preserve">Burn still ahead after month of life (1-12)</t>
  </si>
  <si>
    <t xml:space="preserve">Cash set aside per launch</t>
  </si>
  <si>
    <t xml:space="preserve">Launch cost plus every month of burn until the new town pays its own way.</t>
  </si>
  <si>
    <t xml:space="preserve">Fixed costs a month, FY2027 (platform and fixed insurance)</t>
  </si>
  <si>
    <t xml:space="preserve">Month</t>
  </si>
  <si>
    <t xml:space="preserve">Year index</t>
  </si>
  <si>
    <t xml:space="preserve">Launch capacity</t>
  </si>
  <si>
    <t xml:space="preserve">Towns left to launch</t>
  </si>
  <si>
    <t xml:space="preserve">Cash held for young towns</t>
  </si>
  <si>
    <t xml:space="preserve">Cash free for launches</t>
  </si>
  <si>
    <t xml:space="preserve">Towns launched</t>
  </si>
  <si>
    <t xml:space="preserve">Cumulative launched</t>
  </si>
  <si>
    <t xml:space="preserve">Launched, Age 1</t>
  </si>
  <si>
    <t xml:space="preserve">Age 1, ramp-weighted</t>
  </si>
  <si>
    <t xml:space="preserve">Launched, Age 2</t>
  </si>
  <si>
    <t xml:space="preserve">Launched, Age 3</t>
  </si>
  <si>
    <t xml:space="preserve">Launched, Age 4</t>
  </si>
  <si>
    <t xml:space="preserve">Launched, Age 5</t>
  </si>
  <si>
    <t xml:space="preserve">Live towns</t>
  </si>
  <si>
    <t xml:space="preserve">Featured spots</t>
  </si>
  <si>
    <t xml:space="preserve">Enhanced</t>
  </si>
  <si>
    <t xml:space="preserve">Category sponsors</t>
  </si>
  <si>
    <t xml:space="preserve">Newsletter</t>
  </si>
  <si>
    <t xml:space="preserve">Banners</t>
  </si>
  <si>
    <t xml:space="preserve">Programmatic</t>
  </si>
  <si>
    <t xml:space="preserve">Revenue</t>
  </si>
  <si>
    <t xml:space="preserve">Hosting</t>
  </si>
  <si>
    <t xml:space="preserve">Email</t>
  </si>
  <si>
    <t xml:space="preserve">Card fees</t>
  </si>
  <si>
    <t xml:space="preserve">Domain renewals</t>
  </si>
  <si>
    <t xml:space="preserve">New domains</t>
  </si>
  <si>
    <t xml:space="preserve">Cost of revenue</t>
  </si>
  <si>
    <t xml:space="preserve">Subscribers</t>
  </si>
  <si>
    <t xml:space="preserve">Paid products</t>
  </si>
  <si>
    <t xml:space="preserve">FTE needed: editorial</t>
  </si>
  <si>
    <t xml:space="preserve">FTE needed: partnerships</t>
  </si>
  <si>
    <t xml:space="preserve">FTE needed: support</t>
  </si>
  <si>
    <t xml:space="preserve">FTE needed: launches</t>
  </si>
  <si>
    <t xml:space="preserve">FTE wanted: leadership</t>
  </si>
  <si>
    <t xml:space="preserve">FTE wanted: engineering</t>
  </si>
  <si>
    <t xml:space="preserve">FTE wanted: G&amp;A</t>
  </si>
  <si>
    <t xml:space="preserve">FTE needed, total</t>
  </si>
  <si>
    <t xml:space="preserve">Cost if paid: editorial</t>
  </si>
  <si>
    <t xml:space="preserve">Cost if paid: partnerships</t>
  </si>
  <si>
    <t xml:space="preserve">Cost if paid: support</t>
  </si>
  <si>
    <t xml:space="preserve">Cost if paid: launches</t>
  </si>
  <si>
    <t xml:space="preserve">Cost if paid: leadership</t>
  </si>
  <si>
    <t xml:space="preserve">Cost if paid: engineering</t>
  </si>
  <si>
    <t xml:space="preserve">Cost if paid: G&amp;A</t>
  </si>
  <si>
    <t xml:space="preserve">Cost if all paid</t>
  </si>
  <si>
    <t xml:space="preserve">Staff budget</t>
  </si>
  <si>
    <t xml:space="preserve">Paid: town work</t>
  </si>
  <si>
    <t xml:space="preserve">Share of town work paid</t>
  </si>
  <si>
    <t xml:space="preserve">Paid: central hires</t>
  </si>
  <si>
    <t xml:space="preserve">Share of central hires paid</t>
  </si>
  <si>
    <t xml:space="preserve">Paid staff cost</t>
  </si>
  <si>
    <t xml:space="preserve">Paid FTE</t>
  </si>
  <si>
    <t xml:space="preserve">Unfunded town work (FTE)</t>
  </si>
  <si>
    <t xml:space="preserve">Paid: editorial</t>
  </si>
  <si>
    <t xml:space="preserve">Paid: partnerships</t>
  </si>
  <si>
    <t xml:space="preserve">Paid: support</t>
  </si>
  <si>
    <t xml:space="preserve">Paid: launches</t>
  </si>
  <si>
    <t xml:space="preserve">Paid: leadership</t>
  </si>
  <si>
    <t xml:space="preserve">Paid: engineering</t>
  </si>
  <si>
    <t xml:space="preserve">Paid: G&amp;A</t>
  </si>
  <si>
    <t xml:space="preserve">Launch marketing and AI</t>
  </si>
  <si>
    <t xml:space="preserve">Paid subscribers</t>
  </si>
  <si>
    <t xml:space="preserve">Corporate marketing</t>
  </si>
  <si>
    <t xml:space="preserve">Legal and insurance</t>
  </si>
  <si>
    <t xml:space="preserve">Platform, software and tools</t>
  </si>
  <si>
    <t xml:space="preserve">Operating expenses</t>
  </si>
  <si>
    <t xml:space="preserve">EBITDA</t>
  </si>
  <si>
    <t xml:space="preserve">Equipment</t>
  </si>
  <si>
    <t xml:space="preserve">Income tax paid</t>
  </si>
  <si>
    <t xml:space="preserve">Working capital</t>
  </si>
  <si>
    <t xml:space="preserve">Net cash flow</t>
  </si>
  <si>
    <t xml:space="preserve">Closing cash</t>
  </si>
  <si>
    <t xml:space="preserve">Revenue build ($)</t>
  </si>
  <si>
    <t xml:space="preserve">Network totals: the sum of each fiscal year's months on the Monthly sheet.</t>
  </si>
  <si>
    <t xml:space="preserve">Town sponsor banners</t>
  </si>
  <si>
    <t xml:space="preserve">Growth</t>
  </si>
  <si>
    <t xml:space="preserve">Revenue mix</t>
  </si>
  <si>
    <t xml:space="preserve">Headcount and people costs</t>
  </si>
  <si>
    <t xml:space="preserve">Founders are unpaid. Work beyond founder time is paid only out of revenue (Assumptions: staff budget); the rest is unfunded and holds launches.</t>
  </si>
  <si>
    <t xml:space="preserve">FTE needed (year end)</t>
  </si>
  <si>
    <t xml:space="preserve">Editorial standards</t>
  </si>
  <si>
    <t xml:space="preserve">Launch operations</t>
  </si>
  <si>
    <t xml:space="preserve">Total FTE needed</t>
  </si>
  <si>
    <t xml:space="preserve">Paid staff (FTE)</t>
  </si>
  <si>
    <t xml:space="preserve">Unfunded town work, FTE (holds launches)</t>
  </si>
  <si>
    <t xml:space="preserve">Founders' time (unpaid FTE)</t>
  </si>
  <si>
    <t xml:space="preserve">Paid people cost ($)</t>
  </si>
  <si>
    <t xml:space="preserve">Total people cost</t>
  </si>
  <si>
    <t xml:space="preserve">Each month, needed work beyond founder time is paid up to the staff budget (a share of last month's revenue), split across roles in proportion to their cost.</t>
  </si>
  <si>
    <t xml:space="preserve">Costs ($)</t>
  </si>
  <si>
    <t xml:space="preserve">Sums of the Monthly sheet; people from Headcount.</t>
  </si>
  <si>
    <t xml:space="preserve">Domains (renewals and new)</t>
  </si>
  <si>
    <t xml:space="preserve">Total cost of revenue</t>
  </si>
  <si>
    <t xml:space="preserve">Editorial standards (people)</t>
  </si>
  <si>
    <t xml:space="preserve">Advertiser partnerships (people)</t>
  </si>
  <si>
    <t xml:space="preserve">Sales commission</t>
  </si>
  <si>
    <t xml:space="preserve">Support and success (people)</t>
  </si>
  <si>
    <t xml:space="preserve">Launch operations (people)</t>
  </si>
  <si>
    <t xml:space="preserve">Launch marketing and launch AI</t>
  </si>
  <si>
    <t xml:space="preserve">Engineering and product (people)</t>
  </si>
  <si>
    <t xml:space="preserve">Leadership (people, not founders)</t>
  </si>
  <si>
    <t xml:space="preserve">Finance, legal and operations (people)</t>
  </si>
  <si>
    <t xml:space="preserve">Legal and media liability insurance</t>
  </si>
  <si>
    <t xml:space="preserve">Total operating expenses</t>
  </si>
  <si>
    <t xml:space="preserve">Income statement ($)</t>
  </si>
  <si>
    <t xml:space="preserve">Fiscal years 2027-2031.</t>
  </si>
  <si>
    <t xml:space="preserve">Gross profit</t>
  </si>
  <si>
    <t xml:space="preserve">Editorial</t>
  </si>
  <si>
    <t xml:space="preserve">Sales and marketing</t>
  </si>
  <si>
    <t xml:space="preserve">General and administrative</t>
  </si>
  <si>
    <t xml:space="preserve">Capital expenditure (memo)</t>
  </si>
  <si>
    <t xml:space="preserve">Depreciation</t>
  </si>
  <si>
    <t xml:space="preserve">Operating income (EBIT)</t>
  </si>
  <si>
    <t xml:space="preserve">Tax losses available, opening</t>
  </si>
  <si>
    <t xml:space="preserve">Taxable income after losses used</t>
  </si>
  <si>
    <t xml:space="preserve">Tax losses available, closing</t>
  </si>
  <si>
    <t xml:space="preserve">Income tax</t>
  </si>
  <si>
    <t xml:space="preserve">Net income</t>
  </si>
  <si>
    <t xml:space="preserve">Income tax is paid in the first month of the next fiscal year (Monthly sheet).</t>
  </si>
  <si>
    <t xml:space="preserve">Cash flow and funding ($)</t>
  </si>
  <si>
    <t xml:space="preserve">Bootstrapped: sums of the Monthly sheet, no outside money unless Assumptions adds equity.</t>
  </si>
  <si>
    <t xml:space="preserve">Capital expenditure</t>
  </si>
  <si>
    <t xml:space="preserve">Increase in net working capital</t>
  </si>
  <si>
    <t xml:space="preserve">Free cash flow</t>
  </si>
  <si>
    <t xml:space="preserve">Net change in cash</t>
  </si>
  <si>
    <t xml:space="preserve">Opening cash</t>
  </si>
  <si>
    <t xml:space="preserve">Cash below zero in any month? (1 = yes: fix the plan)</t>
  </si>
  <si>
    <t xml:space="preserve">Lowest month-end cash, FY2027-FY2031</t>
  </si>
  <si>
    <t xml:space="preserve">Must stay at or above the cash floor in Assumptions.</t>
  </si>
  <si>
    <t xml:space="preserve">Cumulative free cash flow before turning positive (funding need)</t>
  </si>
  <si>
    <t xml:space="preserve">Deepest point of cumulative yearly free cash flow; bootstrapped, opening cash covers it.</t>
  </si>
  <si>
    <t xml:space="preserve">Key metrics</t>
  </si>
  <si>
    <t xml:space="preserve">Operating and financial KPIs, all formulas.</t>
  </si>
  <si>
    <t xml:space="preserve">Footprint and audience</t>
  </si>
  <si>
    <t xml:space="preserve">Towns launched in year</t>
  </si>
  <si>
    <t xml:space="preserve">Pageviews in year</t>
  </si>
  <si>
    <t xml:space="preserve">Customers</t>
  </si>
  <si>
    <t xml:space="preserve">Paid directory products (average in year)</t>
  </si>
  <si>
    <t xml:space="preserve">Directory revenue per paid product per month ($)</t>
  </si>
  <si>
    <t xml:space="preserve">Financial</t>
  </si>
  <si>
    <t xml:space="preserve">Revenue per average live town ($)</t>
  </si>
  <si>
    <t xml:space="preserve">Lowest month-end cash in year ($)</t>
  </si>
  <si>
    <t xml:space="preserve">Paid staff at year end (FTE)</t>
  </si>
  <si>
    <t xml:space="preserve">Founders are unpaid and not counted.</t>
  </si>
  <si>
    <t xml:space="preserve">AI cost as % of revenue</t>
  </si>
  <si>
    <t xml:space="preserve">CLAUDE.md §8 asks for an alert when AI cost per article jumps; this tracks the overall share.</t>
  </si>
  <si>
    <t xml:space="preserve">Central costs (engineering, leadership, G&amp;A, brand, fixed legal, tools) ($)</t>
  </si>
  <si>
    <t xml:space="preserve">Bootstrapped: the people here are paid only once revenue covers them.</t>
  </si>
  <si>
    <t xml:space="preserve">Run-rate EBITDA if every live town were mature ($)</t>
  </si>
  <si>
    <t xml:space="preserve">Live towns x Age 5 contribution per surviving town, less central costs: the profit the network already built would earn once its young towns mature, with no new launches.</t>
  </si>
  <si>
    <t xml:space="preserve">Mature towns needed to cover central costs</t>
  </si>
  <si>
    <t xml:space="preserve">Single-town economics (from Unit Economics)</t>
  </si>
  <si>
    <t xml:space="preserve">Mature town revenue (Age 5, $/year)</t>
  </si>
  <si>
    <t xml:space="preserve">Mature town contribution (Age 5, $/year)</t>
  </si>
  <si>
    <t xml:space="preserve">Mature contribution margin</t>
  </si>
  <si>
    <t xml:space="preserve">One-time launch cost per town ($)</t>
  </si>
  <si>
    <t xml:space="preserve">Town payback (age in years when cumulative contribution turns positive)</t>
  </si>
  <si>
    <t xml:space="preserve">1 = paid back within the launch year.</t>
  </si>
  <si>
    <t xml:space="preserve">First fiscal year with positive EBITDA</t>
  </si>
  <si>
    <t xml:space="preserve">Equity needed (deepest cumulative free cash flow)</t>
  </si>
</sst>
</file>

<file path=xl/styles.xml><?xml version="1.0" encoding="utf-8"?>
<styleSheet xmlns="http://schemas.openxmlformats.org/spreadsheetml/2006/main">
  <numFmts count="9">
    <numFmt numFmtId="164" formatCode="General"/>
    <numFmt numFmtId="165" formatCode="#,##0;\(#,##0\);\-"/>
    <numFmt numFmtId="166" formatCode="\$#,##0;&quot;($&quot;#,##0\);\-"/>
    <numFmt numFmtId="167" formatCode="0.0%;\(0.0%\);\-"/>
    <numFmt numFmtId="168" formatCode="#,##0.0;\(#,##0.0\);\-"/>
    <numFmt numFmtId="169" formatCode="0.00\x"/>
    <numFmt numFmtId="170" formatCode="\$#,##0.00;&quot;($&quot;#,##0.00\);\-"/>
    <numFmt numFmtId="171" formatCode="0.00"/>
    <numFmt numFmtId="172" formatCode="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0"/>
      <color rgb="FF555555"/>
      <name val="Arial"/>
      <family val="0"/>
      <charset val="1"/>
    </font>
    <font>
      <b val="true"/>
      <sz val="10"/>
      <name val="Arial"/>
      <family val="0"/>
      <charset val="1"/>
    </font>
    <font>
      <b val="true"/>
      <sz val="10"/>
      <color rgb="FFFFFFFF"/>
      <name val="Arial"/>
      <family val="0"/>
      <charset val="1"/>
    </font>
    <font>
      <sz val="10"/>
      <color rgb="FF008000"/>
      <name val="Arial"/>
      <family val="0"/>
      <charset val="1"/>
    </font>
    <font>
      <sz val="10"/>
      <name val="Arial"/>
      <family val="0"/>
      <charset val="1"/>
    </font>
    <font>
      <sz val="10"/>
      <color rgb="FF0000FF"/>
      <name val="Arial"/>
      <family val="0"/>
      <charset val="1"/>
    </font>
    <font>
      <sz val="9"/>
      <color rgb="FF555555"/>
      <name val="Arial"/>
      <family val="0"/>
      <charset val="1"/>
    </font>
  </fonts>
  <fills count="5">
    <fill>
      <patternFill patternType="none"/>
    </fill>
    <fill>
      <patternFill patternType="gray125"/>
    </fill>
    <fill>
      <patternFill patternType="solid">
        <fgColor rgb="FF16233A"/>
        <bgColor rgb="FF003366"/>
      </patternFill>
    </fill>
    <fill>
      <patternFill patternType="solid">
        <fgColor rgb="FFFFFF00"/>
        <bgColor rgb="FFFFFF00"/>
      </patternFill>
    </fill>
    <fill>
      <patternFill patternType="solid">
        <fgColor rgb="FFE8ECF2"/>
        <bgColor rgb="FFFFFFFF"/>
      </patternFill>
    </fill>
  </fills>
  <borders count="2">
    <border diagonalUp="false" diagonalDown="false">
      <left/>
      <right/>
      <top/>
      <bottom/>
      <diagonal/>
    </border>
    <border diagonalUp="false" diagonalDown="false">
      <left/>
      <right/>
      <top style="thin">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right"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7" fontId="11" fillId="3"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70" fontId="11" fillId="3" borderId="0" xfId="0" applyFont="tru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8" fontId="11" fillId="3"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right" vertical="bottom" textRotation="0" wrapText="true" indent="0" shrinkToFit="false"/>
      <protection locked="true" hidden="false"/>
    </xf>
    <xf numFmtId="172" fontId="5"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8EC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99999"/>
      <rgbColor rgb="FF003366"/>
      <rgbColor rgb="FF339966"/>
      <rgbColor rgb="FF003300"/>
      <rgbColor rgb="FF333300"/>
      <rgbColor rgb="FF993300"/>
      <rgbColor rgb="FF993366"/>
      <rgbColor rgb="FF333399"/>
      <rgbColor rgb="FF1623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4"/>
    <col collapsed="false" customWidth="true" hidden="false" outlineLevel="0" max="7" min="3" style="0" width="14"/>
    <col collapsed="false" customWidth="true" hidden="false" outlineLevel="0" max="8" min="8" style="0" width="30"/>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 t="s">
        <v>2</v>
      </c>
      <c r="B4" s="2"/>
      <c r="C4" s="4" t="str">
        <f aca="false">INDEX({"Downside","Base","Upside"},1,Assumptions!$C$5)</f>
        <v>Base</v>
      </c>
      <c r="D4" s="2"/>
      <c r="E4" s="2"/>
      <c r="F4" s="2"/>
      <c r="G4" s="2"/>
      <c r="H4" s="2"/>
    </row>
    <row r="5" customFormat="false" ht="15" hidden="false" customHeight="false" outlineLevel="0" collapsed="false">
      <c r="A5" s="2"/>
      <c r="B5" s="2"/>
      <c r="C5" s="2"/>
      <c r="D5" s="2"/>
      <c r="E5" s="2"/>
      <c r="F5" s="2"/>
      <c r="G5" s="2"/>
      <c r="H5" s="2"/>
    </row>
    <row r="6" customFormat="false" ht="15" hidden="false" customHeight="false" outlineLevel="0" collapsed="false">
      <c r="A6" s="5" t="s">
        <v>3</v>
      </c>
      <c r="B6" s="6"/>
      <c r="C6" s="7" t="s">
        <v>4</v>
      </c>
      <c r="D6" s="7" t="s">
        <v>5</v>
      </c>
      <c r="E6" s="7" t="s">
        <v>6</v>
      </c>
      <c r="F6" s="7" t="s">
        <v>7</v>
      </c>
      <c r="G6" s="7" t="s">
        <v>8</v>
      </c>
      <c r="H6" s="6"/>
    </row>
    <row r="7" customFormat="false" ht="15" hidden="false" customHeight="false" outlineLevel="0" collapsed="false">
      <c r="A7" s="2" t="s">
        <v>9</v>
      </c>
      <c r="B7" s="2"/>
      <c r="C7" s="8" t="n">
        <f aca="false">Rollout!C7</f>
        <v>28</v>
      </c>
      <c r="D7" s="8" t="n">
        <f aca="false">Rollout!D7</f>
        <v>70.16</v>
      </c>
      <c r="E7" s="8" t="n">
        <f aca="false">Rollout!E7</f>
        <v>279.31</v>
      </c>
      <c r="F7" s="8" t="n">
        <f aca="false">Rollout!F7</f>
        <v>1135.84</v>
      </c>
      <c r="G7" s="8" t="n">
        <f aca="false">Rollout!G7</f>
        <v>2811.99</v>
      </c>
      <c r="H7" s="2"/>
    </row>
    <row r="8" customFormat="false" ht="15" hidden="false" customHeight="false" outlineLevel="0" collapsed="false">
      <c r="A8" s="2" t="s">
        <v>10</v>
      </c>
      <c r="B8" s="2"/>
      <c r="C8" s="8" t="n">
        <f aca="false">KPIs!C8</f>
        <v>3619.30884</v>
      </c>
      <c r="D8" s="8" t="n">
        <f aca="false">KPIs!D8</f>
        <v>11240.791408</v>
      </c>
      <c r="E8" s="8" t="n">
        <f aca="false">KPIs!E8</f>
        <v>46321.8448</v>
      </c>
      <c r="F8" s="8" t="n">
        <f aca="false">KPIs!F8</f>
        <v>162765.86641</v>
      </c>
      <c r="G8" s="8" t="n">
        <f aca="false">KPIs!G8</f>
        <v>535855.86117</v>
      </c>
      <c r="H8" s="2"/>
    </row>
    <row r="9" customFormat="false" ht="15" hidden="false" customHeight="false" outlineLevel="0" collapsed="false">
      <c r="A9" s="2" t="s">
        <v>11</v>
      </c>
      <c r="B9" s="2"/>
      <c r="C9" s="9" t="n">
        <f aca="false">'P&amp;L'!C5</f>
        <v>17965.703012412</v>
      </c>
      <c r="D9" s="9" t="n">
        <f aca="false">'P&amp;L'!D5</f>
        <v>106930.957998892</v>
      </c>
      <c r="E9" s="9" t="n">
        <f aca="false">'P&amp;L'!E5</f>
        <v>405561.284676972</v>
      </c>
      <c r="F9" s="9" t="n">
        <f aca="false">'P&amp;L'!F5</f>
        <v>1517945.73904393</v>
      </c>
      <c r="G9" s="9" t="n">
        <f aca="false">'P&amp;L'!G5</f>
        <v>5412192.2023687</v>
      </c>
      <c r="H9" s="2"/>
    </row>
    <row r="10" customFormat="false" ht="15" hidden="false" customHeight="false" outlineLevel="0" collapsed="false">
      <c r="A10" s="2" t="s">
        <v>12</v>
      </c>
      <c r="B10" s="2"/>
      <c r="C10" s="10" t="n">
        <f aca="false">'P&amp;L'!C8</f>
        <v>0.331956034635801</v>
      </c>
      <c r="D10" s="10" t="n">
        <f aca="false">'P&amp;L'!D8</f>
        <v>0.703091823028468</v>
      </c>
      <c r="E10" s="10" t="n">
        <f aca="false">'P&amp;L'!E8</f>
        <v>0.689335330212958</v>
      </c>
      <c r="F10" s="10" t="n">
        <f aca="false">'P&amp;L'!F8</f>
        <v>0.701410478859548</v>
      </c>
      <c r="G10" s="10" t="n">
        <f aca="false">'P&amp;L'!G8</f>
        <v>0.745884562620994</v>
      </c>
      <c r="H10" s="2"/>
    </row>
    <row r="11" customFormat="false" ht="15" hidden="false" customHeight="false" outlineLevel="0" collapsed="false">
      <c r="A11" s="2" t="s">
        <v>13</v>
      </c>
      <c r="B11" s="2"/>
      <c r="C11" s="9" t="n">
        <f aca="false">'P&amp;L'!C16</f>
        <v>604.50947119651</v>
      </c>
      <c r="D11" s="9" t="n">
        <f aca="false">'P&amp;L'!D16</f>
        <v>25408.4577173633</v>
      </c>
      <c r="E11" s="9" t="n">
        <f aca="false">'P&amp;L'!E16</f>
        <v>96192.6712210458</v>
      </c>
      <c r="F11" s="9" t="n">
        <f aca="false">'P&amp;L'!F16</f>
        <v>380319.924596972</v>
      </c>
      <c r="G11" s="9" t="n">
        <f aca="false">'P&amp;L'!G16</f>
        <v>1681831.4304181</v>
      </c>
      <c r="H11" s="2"/>
    </row>
    <row r="12" customFormat="false" ht="15" hidden="false" customHeight="false" outlineLevel="0" collapsed="false">
      <c r="A12" s="2" t="s">
        <v>14</v>
      </c>
      <c r="B12" s="2"/>
      <c r="C12" s="10" t="n">
        <f aca="false">'P&amp;L'!C17</f>
        <v>0.0336479719596206</v>
      </c>
      <c r="D12" s="10" t="n">
        <f aca="false">'P&amp;L'!D17</f>
        <v>0.237615543644775</v>
      </c>
      <c r="E12" s="10" t="n">
        <f aca="false">'P&amp;L'!E17</f>
        <v>0.237184057885759</v>
      </c>
      <c r="F12" s="10" t="n">
        <f aca="false">'P&amp;L'!F17</f>
        <v>0.250549090665463</v>
      </c>
      <c r="G12" s="10" t="n">
        <f aca="false">'P&amp;L'!G17</f>
        <v>0.310748651846109</v>
      </c>
      <c r="H12" s="2"/>
    </row>
    <row r="13" customFormat="false" ht="15" hidden="false" customHeight="false" outlineLevel="0" collapsed="false">
      <c r="A13" s="2" t="s">
        <v>15</v>
      </c>
      <c r="B13" s="2"/>
      <c r="C13" s="9" t="n">
        <f aca="false">'P&amp;L'!C25</f>
        <v>453.382103397383</v>
      </c>
      <c r="D13" s="9" t="n">
        <f aca="false">'P&amp;L'!D25</f>
        <v>18894.0884197798</v>
      </c>
      <c r="E13" s="9" t="n">
        <f aca="false">'P&amp;L'!E25</f>
        <v>70871.6864603559</v>
      </c>
      <c r="F13" s="9" t="n">
        <f aca="false">'P&amp;L'!F25</f>
        <v>277316.286381341</v>
      </c>
      <c r="G13" s="9" t="n">
        <f aca="false">'P&amp;L'!G25</f>
        <v>1236116.15358999</v>
      </c>
      <c r="H13" s="2"/>
    </row>
    <row r="14" customFormat="false" ht="15" hidden="false" customHeight="false" outlineLevel="0" collapsed="false">
      <c r="A14" s="2" t="s">
        <v>16</v>
      </c>
      <c r="B14" s="2"/>
      <c r="C14" s="9" t="n">
        <f aca="false">'Cash Flow'!C13</f>
        <v>4472.50295059011</v>
      </c>
      <c r="D14" s="9" t="n">
        <f aca="false">'Cash Flow'!D13</f>
        <v>25172.5782590624</v>
      </c>
      <c r="E14" s="9" t="n">
        <f aca="false">'Cash Flow'!E13</f>
        <v>93617.6432399528</v>
      </c>
      <c r="F14" s="9" t="n">
        <f aca="false">'Cash Flow'!F13</f>
        <v>367762.017134052</v>
      </c>
      <c r="G14" s="9" t="n">
        <f aca="false">'Cash Flow'!G13</f>
        <v>1690089.33366749</v>
      </c>
      <c r="H14" s="2"/>
    </row>
    <row r="15" customFormat="false" ht="15" hidden="false" customHeight="false" outlineLevel="0" collapsed="false">
      <c r="A15" s="2" t="s">
        <v>17</v>
      </c>
      <c r="B15" s="2"/>
      <c r="C15" s="9" t="n">
        <f aca="false">KPIs!C20</f>
        <v>898.064485022838</v>
      </c>
      <c r="D15" s="9" t="n">
        <f aca="false">KPIs!D20</f>
        <v>5806.96338419386</v>
      </c>
      <c r="E15" s="9" t="n">
        <f aca="false">KPIs!E20</f>
        <v>25808.7454188571</v>
      </c>
      <c r="F15" s="9" t="n">
        <f aca="false">KPIs!F20</f>
        <v>89820.3807734242</v>
      </c>
      <c r="G15" s="9" t="n">
        <f aca="false">KPIs!G20</f>
        <v>331120.615723353</v>
      </c>
      <c r="H15" s="2"/>
    </row>
    <row r="16" customFormat="false" ht="15" hidden="false" customHeight="false" outlineLevel="0" collapsed="false">
      <c r="A16" s="2" t="s">
        <v>18</v>
      </c>
      <c r="B16" s="2"/>
      <c r="C16" s="11" t="n">
        <f aca="false">KPIs!C21</f>
        <v>0</v>
      </c>
      <c r="D16" s="11" t="n">
        <f aca="false">KPIs!D21</f>
        <v>0.259607789188255</v>
      </c>
      <c r="E16" s="11" t="n">
        <f aca="false">KPIs!E21</f>
        <v>2.03650712868549</v>
      </c>
      <c r="F16" s="11" t="n">
        <f aca="false">KPIs!F21</f>
        <v>11.0652139507756</v>
      </c>
      <c r="G16" s="11" t="n">
        <f aca="false">KPIs!G21</f>
        <v>36.0582716436513</v>
      </c>
      <c r="H16" s="2"/>
    </row>
    <row r="17" customFormat="false" ht="15" hidden="false" customHeight="false" outlineLevel="0" collapsed="false">
      <c r="A17" s="2" t="s">
        <v>19</v>
      </c>
      <c r="B17" s="2"/>
      <c r="C17" s="9" t="n">
        <f aca="false">KPIs!C24</f>
        <v>484682.208445565</v>
      </c>
      <c r="D17" s="9" t="n">
        <f aca="false">KPIs!D24</f>
        <v>1177477.40953193</v>
      </c>
      <c r="E17" s="9" t="n">
        <f aca="false">KPIs!E24</f>
        <v>4751677.74099475</v>
      </c>
      <c r="F17" s="9" t="n">
        <f aca="false">KPIs!F24</f>
        <v>19580017.273136</v>
      </c>
      <c r="G17" s="9" t="n">
        <f aca="false">KPIs!G24</f>
        <v>48511238.30478</v>
      </c>
      <c r="H17" s="2"/>
    </row>
    <row r="18" customFormat="false" ht="15" hidden="false" customHeight="false" outlineLevel="0" collapsed="false">
      <c r="A18" s="2"/>
      <c r="B18" s="2"/>
      <c r="C18" s="2"/>
      <c r="D18" s="2"/>
      <c r="E18" s="2"/>
      <c r="F18" s="2"/>
      <c r="G18" s="2"/>
      <c r="H18" s="2"/>
    </row>
    <row r="19" customFormat="false" ht="15" hidden="false" customHeight="false" outlineLevel="0" collapsed="false">
      <c r="A19" s="4" t="s">
        <v>20</v>
      </c>
      <c r="B19" s="2"/>
      <c r="C19" s="2"/>
      <c r="D19" s="2"/>
      <c r="E19" s="2"/>
      <c r="F19" s="2"/>
      <c r="G19" s="2"/>
      <c r="H19" s="2"/>
    </row>
    <row r="20" customFormat="false" ht="15" hidden="false" customHeight="false" outlineLevel="0" collapsed="false">
      <c r="A20" s="12" t="s">
        <v>21</v>
      </c>
      <c r="B20" s="2"/>
      <c r="C20" s="2"/>
      <c r="D20" s="2"/>
      <c r="E20" s="2"/>
      <c r="F20" s="2"/>
      <c r="G20" s="2"/>
      <c r="H20" s="2"/>
    </row>
    <row r="21" customFormat="false" ht="15" hidden="false" customHeight="false" outlineLevel="0" collapsed="false">
      <c r="A21" s="12" t="s">
        <v>22</v>
      </c>
      <c r="B21" s="2"/>
      <c r="C21" s="2"/>
      <c r="D21" s="2"/>
      <c r="E21" s="2"/>
      <c r="F21" s="2"/>
      <c r="G21" s="2"/>
      <c r="H21" s="2"/>
    </row>
    <row r="22" customFormat="false" ht="15" hidden="false" customHeight="false" outlineLevel="0" collapsed="false">
      <c r="A22" s="12" t="s">
        <v>23</v>
      </c>
      <c r="B22" s="2"/>
      <c r="C22" s="2"/>
      <c r="D22" s="2"/>
      <c r="E22" s="2"/>
      <c r="F22" s="2"/>
      <c r="G22" s="2"/>
      <c r="H22" s="2"/>
    </row>
    <row r="23" customFormat="false" ht="15" hidden="false" customHeight="false" outlineLevel="0" collapsed="false">
      <c r="A23" s="12" t="s">
        <v>24</v>
      </c>
      <c r="B23" s="2"/>
      <c r="C23" s="2"/>
      <c r="D23" s="2"/>
      <c r="E23" s="2"/>
      <c r="F23" s="2"/>
      <c r="G23" s="2"/>
      <c r="H23" s="2"/>
    </row>
    <row r="24" customFormat="false" ht="15" hidden="false" customHeight="false" outlineLevel="0" collapsed="false">
      <c r="A24" s="12" t="s">
        <v>25</v>
      </c>
      <c r="B24" s="2"/>
      <c r="C24" s="2"/>
      <c r="D24" s="2"/>
      <c r="E24" s="2"/>
      <c r="F24" s="2"/>
      <c r="G24" s="2"/>
      <c r="H24" s="2"/>
    </row>
    <row r="25" customFormat="false" ht="15" hidden="false" customHeight="false" outlineLevel="0" collapsed="false">
      <c r="A25" s="12" t="s">
        <v>26</v>
      </c>
      <c r="B25" s="2"/>
      <c r="C25" s="2"/>
      <c r="D25" s="2"/>
      <c r="E25" s="2"/>
      <c r="F25" s="2"/>
      <c r="G25" s="2"/>
      <c r="H25" s="2"/>
    </row>
    <row r="26" customFormat="false" ht="15" hidden="false" customHeight="false" outlineLevel="0" collapsed="false">
      <c r="A26" s="12" t="s">
        <v>27</v>
      </c>
      <c r="B26" s="2"/>
      <c r="C26" s="2"/>
      <c r="D26" s="2"/>
      <c r="E26" s="2"/>
      <c r="F26" s="2"/>
      <c r="G26" s="2"/>
      <c r="H26" s="2"/>
    </row>
    <row r="27" customFormat="false" ht="15" hidden="false" customHeight="false" outlineLevel="0" collapsed="false">
      <c r="A27" s="2"/>
      <c r="B27" s="2"/>
      <c r="C27" s="2"/>
      <c r="D27" s="2"/>
      <c r="E27" s="2"/>
      <c r="F27" s="2"/>
      <c r="G27" s="2"/>
      <c r="H27" s="2"/>
    </row>
    <row r="28" customFormat="false" ht="15" hidden="false" customHeight="false" outlineLevel="0" collapsed="false">
      <c r="A28" s="4" t="s">
        <v>28</v>
      </c>
      <c r="B28" s="2"/>
      <c r="C28" s="2"/>
      <c r="D28" s="2"/>
      <c r="E28" s="2"/>
      <c r="F28" s="2"/>
      <c r="G28" s="2"/>
      <c r="H28" s="2"/>
    </row>
    <row r="29" customFormat="false" ht="15" hidden="false" customHeight="false" outlineLevel="0" collapsed="false">
      <c r="A29" s="13" t="s">
        <v>29</v>
      </c>
      <c r="B29" s="2"/>
      <c r="C29" s="2"/>
      <c r="D29" s="2"/>
      <c r="E29" s="2"/>
      <c r="F29" s="2"/>
      <c r="G29" s="2"/>
      <c r="H29" s="2"/>
    </row>
    <row r="30" customFormat="false" ht="15" hidden="false" customHeight="false" outlineLevel="0" collapsed="false">
      <c r="A30" s="14" t="s">
        <v>30</v>
      </c>
      <c r="B30" s="2"/>
      <c r="C30" s="2"/>
      <c r="D30" s="2"/>
      <c r="E30" s="2"/>
      <c r="F30" s="2"/>
      <c r="G30" s="2"/>
      <c r="H30" s="2"/>
    </row>
    <row r="31" customFormat="false" ht="15" hidden="false" customHeight="false" outlineLevel="0" collapsed="false">
      <c r="A31" s="12" t="s">
        <v>31</v>
      </c>
      <c r="B31" s="2"/>
      <c r="C31" s="2"/>
      <c r="D31" s="2"/>
      <c r="E31" s="2"/>
      <c r="F31" s="2"/>
      <c r="G31" s="2"/>
      <c r="H31" s="2"/>
    </row>
    <row r="32" customFormat="false" ht="15" hidden="false" customHeight="false" outlineLevel="0" collapsed="false">
      <c r="A32" s="15" t="s">
        <v>32</v>
      </c>
      <c r="B32" s="2"/>
      <c r="C32" s="2"/>
      <c r="D32" s="2"/>
      <c r="E32" s="2"/>
      <c r="F32" s="2"/>
      <c r="G32" s="2"/>
      <c r="H3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7" min="2" style="0" width="12"/>
    <col collapsed="false" customWidth="true" hidden="false" outlineLevel="0" max="8" min="8" style="0" width="70"/>
  </cols>
  <sheetData>
    <row r="1" customFormat="false" ht="17.35" hidden="false" customHeight="false" outlineLevel="0" collapsed="false">
      <c r="A1" s="1" t="s">
        <v>33</v>
      </c>
      <c r="B1" s="2"/>
      <c r="C1" s="2"/>
      <c r="D1" s="2"/>
      <c r="E1" s="2"/>
      <c r="F1" s="2"/>
      <c r="G1" s="2"/>
      <c r="H1" s="2"/>
    </row>
    <row r="2" customFormat="false" ht="15" hidden="false" customHeight="false" outlineLevel="0" collapsed="false">
      <c r="A2" s="3" t="s">
        <v>34</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16" t="s">
        <v>35</v>
      </c>
      <c r="B4" s="17"/>
      <c r="C4" s="17"/>
      <c r="D4" s="17"/>
      <c r="E4" s="17"/>
      <c r="F4" s="17"/>
      <c r="G4" s="17"/>
      <c r="H4" s="17"/>
    </row>
    <row r="5" customFormat="false" ht="15" hidden="false" customHeight="false" outlineLevel="0" collapsed="false">
      <c r="A5" s="4" t="s">
        <v>36</v>
      </c>
      <c r="B5" s="2"/>
      <c r="C5" s="14" t="n">
        <v>2</v>
      </c>
      <c r="D5" s="2"/>
      <c r="E5" s="2"/>
      <c r="F5" s="2"/>
      <c r="G5" s="2"/>
      <c r="H5" s="18" t="s">
        <v>37</v>
      </c>
    </row>
    <row r="6" customFormat="false" ht="15" hidden="false" customHeight="false" outlineLevel="0" collapsed="false">
      <c r="A6" s="2"/>
      <c r="B6" s="2"/>
      <c r="C6" s="19" t="s">
        <v>38</v>
      </c>
      <c r="D6" s="19" t="s">
        <v>39</v>
      </c>
      <c r="E6" s="19" t="s">
        <v>40</v>
      </c>
      <c r="F6" s="19" t="s">
        <v>41</v>
      </c>
      <c r="G6" s="2"/>
      <c r="H6" s="2"/>
    </row>
    <row r="7" customFormat="false" ht="15" hidden="false" customHeight="false" outlineLevel="0" collapsed="false">
      <c r="A7" s="12" t="s">
        <v>42</v>
      </c>
      <c r="B7" s="2"/>
      <c r="C7" s="20" t="n">
        <v>0.6</v>
      </c>
      <c r="D7" s="20" t="n">
        <v>1</v>
      </c>
      <c r="E7" s="20" t="n">
        <v>1.3</v>
      </c>
      <c r="F7" s="21" t="n">
        <f aca="false">INDEX(C7:E7,1,Assumptions!$C$5)</f>
        <v>1</v>
      </c>
      <c r="G7" s="2"/>
      <c r="H7" s="18" t="s">
        <v>43</v>
      </c>
    </row>
    <row r="8" customFormat="false" ht="15" hidden="false" customHeight="false" outlineLevel="0" collapsed="false">
      <c r="A8" s="12" t="s">
        <v>44</v>
      </c>
      <c r="B8" s="2"/>
      <c r="C8" s="20" t="n">
        <v>0.7</v>
      </c>
      <c r="D8" s="20" t="n">
        <v>1</v>
      </c>
      <c r="E8" s="20" t="n">
        <v>1.25</v>
      </c>
      <c r="F8" s="21" t="n">
        <f aca="false">INDEX(C8:E8,1,Assumptions!$C$5)</f>
        <v>1</v>
      </c>
      <c r="G8" s="2"/>
      <c r="H8" s="18" t="s">
        <v>45</v>
      </c>
    </row>
    <row r="9" customFormat="false" ht="15" hidden="false" customHeight="false" outlineLevel="0" collapsed="false">
      <c r="A9" s="12" t="s">
        <v>46</v>
      </c>
      <c r="B9" s="2"/>
      <c r="C9" s="20" t="n">
        <v>0.7</v>
      </c>
      <c r="D9" s="20" t="n">
        <v>1</v>
      </c>
      <c r="E9" s="20" t="n">
        <v>1.2</v>
      </c>
      <c r="F9" s="21" t="n">
        <f aca="false">INDEX(C9:E9,1,Assumptions!$C$5)</f>
        <v>1</v>
      </c>
      <c r="G9" s="2"/>
      <c r="H9" s="18" t="s">
        <v>47</v>
      </c>
    </row>
    <row r="10" customFormat="false" ht="15" hidden="false" customHeight="false" outlineLevel="0" collapsed="false">
      <c r="A10" s="12" t="s">
        <v>48</v>
      </c>
      <c r="B10" s="2"/>
      <c r="C10" s="20" t="n">
        <v>1.2</v>
      </c>
      <c r="D10" s="20" t="n">
        <v>1</v>
      </c>
      <c r="E10" s="20" t="n">
        <v>0.9</v>
      </c>
      <c r="F10" s="21" t="n">
        <f aca="false">INDEX(C10:E10,1,Assumptions!$C$5)</f>
        <v>1</v>
      </c>
      <c r="G10" s="2"/>
      <c r="H10" s="18" t="s">
        <v>49</v>
      </c>
    </row>
    <row r="11" customFormat="false" ht="15" hidden="false" customHeight="false" outlineLevel="0" collapsed="false">
      <c r="A11" s="2"/>
      <c r="B11" s="2"/>
      <c r="C11" s="2"/>
      <c r="D11" s="2"/>
      <c r="E11" s="2"/>
      <c r="F11" s="2"/>
      <c r="G11" s="2"/>
      <c r="H11" s="2"/>
    </row>
    <row r="12" customFormat="false" ht="15" hidden="false" customHeight="false" outlineLevel="0" collapsed="false">
      <c r="A12" s="16" t="s">
        <v>50</v>
      </c>
      <c r="B12" s="17"/>
      <c r="C12" s="17"/>
      <c r="D12" s="17"/>
      <c r="E12" s="17"/>
      <c r="F12" s="17"/>
      <c r="G12" s="17"/>
      <c r="H12" s="17"/>
    </row>
    <row r="13" customFormat="false" ht="15" hidden="false" customHeight="false" outlineLevel="0" collapsed="false">
      <c r="A13" s="12" t="s">
        <v>51</v>
      </c>
      <c r="B13" s="18" t="s">
        <v>52</v>
      </c>
      <c r="C13" s="22" t="n">
        <v>8433</v>
      </c>
      <c r="D13" s="2"/>
      <c r="E13" s="2"/>
      <c r="F13" s="2"/>
      <c r="G13" s="2"/>
      <c r="H13" s="18" t="s">
        <v>53</v>
      </c>
    </row>
    <row r="14" customFormat="false" ht="15" hidden="false" customHeight="false" outlineLevel="0" collapsed="false">
      <c r="A14" s="12" t="s">
        <v>54</v>
      </c>
      <c r="B14" s="18"/>
      <c r="C14" s="23" t="n">
        <v>1</v>
      </c>
      <c r="D14" s="2"/>
      <c r="E14" s="2"/>
      <c r="F14" s="2"/>
      <c r="G14" s="2"/>
      <c r="H14" s="18" t="s">
        <v>55</v>
      </c>
    </row>
    <row r="15" customFormat="false" ht="15" hidden="false" customHeight="false" outlineLevel="0" collapsed="false">
      <c r="A15" s="12" t="s">
        <v>56</v>
      </c>
      <c r="B15" s="18"/>
      <c r="C15" s="24" t="n">
        <v>1</v>
      </c>
      <c r="D15" s="2"/>
      <c r="E15" s="2"/>
      <c r="F15" s="2"/>
      <c r="G15" s="2"/>
      <c r="H15" s="18" t="s">
        <v>57</v>
      </c>
    </row>
    <row r="16" customFormat="false" ht="15" hidden="false" customHeight="false" outlineLevel="0" collapsed="false">
      <c r="A16" s="2"/>
      <c r="B16" s="2"/>
      <c r="C16" s="2"/>
      <c r="D16" s="2"/>
      <c r="E16" s="2"/>
      <c r="F16" s="2"/>
      <c r="G16" s="2"/>
      <c r="H16" s="2"/>
    </row>
    <row r="17" customFormat="false" ht="15" hidden="false" customHeight="false" outlineLevel="0" collapsed="false">
      <c r="A17" s="5" t="s">
        <v>58</v>
      </c>
      <c r="B17" s="6"/>
      <c r="C17" s="7" t="s">
        <v>4</v>
      </c>
      <c r="D17" s="7" t="s">
        <v>5</v>
      </c>
      <c r="E17" s="7" t="s">
        <v>6</v>
      </c>
      <c r="F17" s="7" t="s">
        <v>7</v>
      </c>
      <c r="G17" s="7" t="s">
        <v>8</v>
      </c>
      <c r="H17" s="6"/>
    </row>
    <row r="18" customFormat="false" ht="15" hidden="false" customHeight="false" outlineLevel="0" collapsed="false">
      <c r="A18" s="12" t="s">
        <v>59</v>
      </c>
      <c r="B18" s="18" t="s">
        <v>52</v>
      </c>
      <c r="C18" s="25" t="n">
        <v>3000</v>
      </c>
      <c r="D18" s="25" t="n">
        <v>3000</v>
      </c>
      <c r="E18" s="25" t="n">
        <v>3000</v>
      </c>
      <c r="F18" s="25" t="n">
        <v>3000</v>
      </c>
      <c r="G18" s="25" t="n">
        <v>3000</v>
      </c>
      <c r="H18" s="18" t="s">
        <v>60</v>
      </c>
    </row>
    <row r="19" customFormat="false" ht="15" hidden="false" customHeight="false" outlineLevel="0" collapsed="false">
      <c r="A19" s="12" t="s">
        <v>61</v>
      </c>
      <c r="B19" s="18" t="s">
        <v>52</v>
      </c>
      <c r="C19" s="22" t="n">
        <v>400</v>
      </c>
      <c r="D19" s="2"/>
      <c r="E19" s="2"/>
      <c r="F19" s="2"/>
      <c r="G19" s="2"/>
      <c r="H19" s="18" t="s">
        <v>62</v>
      </c>
    </row>
    <row r="20" customFormat="false" ht="15" hidden="false" customHeight="false" outlineLevel="0" collapsed="false">
      <c r="A20" s="2"/>
      <c r="B20" s="2"/>
      <c r="C20" s="2"/>
      <c r="D20" s="2"/>
      <c r="E20" s="2"/>
      <c r="F20" s="2"/>
      <c r="G20" s="2"/>
      <c r="H20" s="2"/>
    </row>
    <row r="21" customFormat="false" ht="15" hidden="false" customHeight="false" outlineLevel="0" collapsed="false">
      <c r="A21" s="16" t="s">
        <v>63</v>
      </c>
      <c r="B21" s="17"/>
      <c r="C21" s="17"/>
      <c r="D21" s="17"/>
      <c r="E21" s="17"/>
      <c r="F21" s="17"/>
      <c r="G21" s="17"/>
      <c r="H21" s="17"/>
    </row>
    <row r="22" customFormat="false" ht="15" hidden="false" customHeight="false" outlineLevel="0" collapsed="false">
      <c r="A22" s="2"/>
      <c r="B22" s="2"/>
      <c r="C22" s="19" t="s">
        <v>64</v>
      </c>
      <c r="D22" s="19" t="s">
        <v>65</v>
      </c>
      <c r="E22" s="19" t="s">
        <v>66</v>
      </c>
      <c r="F22" s="19" t="s">
        <v>67</v>
      </c>
      <c r="G22" s="2"/>
      <c r="H22" s="2"/>
    </row>
    <row r="23" customFormat="false" ht="15" hidden="false" customHeight="false" outlineLevel="0" collapsed="false">
      <c r="A23" s="12" t="s">
        <v>68</v>
      </c>
      <c r="B23" s="2"/>
      <c r="C23" s="23" t="n">
        <v>0.84</v>
      </c>
      <c r="D23" s="23" t="n">
        <v>0.12</v>
      </c>
      <c r="E23" s="23" t="n">
        <v>0.04</v>
      </c>
      <c r="F23" s="26" t="n">
        <f aca="false">SUM(C23:E23)</f>
        <v>1</v>
      </c>
      <c r="G23" s="2"/>
      <c r="H23" s="18" t="s">
        <v>69</v>
      </c>
    </row>
    <row r="24" customFormat="false" ht="15" hidden="false" customHeight="false" outlineLevel="0" collapsed="false">
      <c r="A24" s="12" t="s">
        <v>70</v>
      </c>
      <c r="B24" s="2"/>
      <c r="C24" s="22" t="n">
        <v>3300</v>
      </c>
      <c r="D24" s="22" t="n">
        <v>21000</v>
      </c>
      <c r="E24" s="22" t="n">
        <v>70000</v>
      </c>
      <c r="F24" s="27" t="n">
        <f aca="false">SUMPRODUCT(C24:E24,$C$23:$E$23)</f>
        <v>8092</v>
      </c>
      <c r="G24" s="2"/>
      <c r="H24" s="18" t="s">
        <v>71</v>
      </c>
    </row>
    <row r="25" customFormat="false" ht="15" hidden="false" customHeight="false" outlineLevel="0" collapsed="false">
      <c r="A25" s="12" t="s">
        <v>72</v>
      </c>
      <c r="B25" s="2"/>
      <c r="C25" s="22" t="n">
        <v>180</v>
      </c>
      <c r="D25" s="22" t="n">
        <v>1100</v>
      </c>
      <c r="E25" s="22" t="n">
        <v>3500</v>
      </c>
      <c r="F25" s="27" t="n">
        <f aca="false">SUMPRODUCT(C25:E25,$C$23:$E$23)</f>
        <v>423.2</v>
      </c>
      <c r="G25" s="2"/>
      <c r="H25" s="18" t="s">
        <v>73</v>
      </c>
    </row>
    <row r="26" customFormat="false" ht="15" hidden="false" customHeight="false" outlineLevel="0" collapsed="false">
      <c r="A26" s="12" t="s">
        <v>74</v>
      </c>
      <c r="B26" s="2"/>
      <c r="C26" s="22" t="n">
        <v>3</v>
      </c>
      <c r="D26" s="22" t="n">
        <v>6</v>
      </c>
      <c r="E26" s="22" t="n">
        <v>10</v>
      </c>
      <c r="F26" s="27" t="n">
        <f aca="false">SUMPRODUCT(C26:E26,$C$23:$E$23)</f>
        <v>3.64</v>
      </c>
      <c r="G26" s="2"/>
      <c r="H26" s="18" t="s">
        <v>75</v>
      </c>
    </row>
    <row r="27" customFormat="false" ht="15" hidden="false" customHeight="false" outlineLevel="0" collapsed="false">
      <c r="A27" s="12" t="s">
        <v>76</v>
      </c>
      <c r="B27" s="2"/>
      <c r="C27" s="28" t="n">
        <v>150</v>
      </c>
      <c r="D27" s="28" t="n">
        <v>400</v>
      </c>
      <c r="E27" s="28" t="n">
        <v>900</v>
      </c>
      <c r="F27" s="29" t="n">
        <f aca="false">SUMPRODUCT(C27:E27,$C$23:$E$23)</f>
        <v>210</v>
      </c>
      <c r="G27" s="2"/>
      <c r="H27" s="18" t="s">
        <v>77</v>
      </c>
    </row>
    <row r="28" customFormat="false" ht="15" hidden="false" customHeight="false" outlineLevel="0" collapsed="false">
      <c r="A28" s="2"/>
      <c r="B28" s="2"/>
      <c r="C28" s="2"/>
      <c r="D28" s="2"/>
      <c r="E28" s="2"/>
      <c r="F28" s="2"/>
      <c r="G28" s="2"/>
      <c r="H28" s="2"/>
    </row>
    <row r="29" customFormat="false" ht="15" hidden="false" customHeight="false" outlineLevel="0" collapsed="false">
      <c r="A29" s="16" t="s">
        <v>78</v>
      </c>
      <c r="B29" s="17"/>
      <c r="C29" s="17"/>
      <c r="D29" s="17"/>
      <c r="E29" s="17"/>
      <c r="F29" s="17"/>
      <c r="G29" s="17"/>
      <c r="H29" s="17"/>
    </row>
    <row r="30" customFormat="false" ht="15" hidden="false" customHeight="false" outlineLevel="0" collapsed="false">
      <c r="A30" s="5" t="s">
        <v>79</v>
      </c>
      <c r="B30" s="6"/>
      <c r="C30" s="7" t="s">
        <v>80</v>
      </c>
      <c r="D30" s="7" t="s">
        <v>81</v>
      </c>
      <c r="E30" s="7" t="s">
        <v>82</v>
      </c>
      <c r="F30" s="7" t="s">
        <v>83</v>
      </c>
      <c r="G30" s="7" t="s">
        <v>84</v>
      </c>
      <c r="H30" s="6"/>
    </row>
    <row r="31" customFormat="false" ht="15" hidden="false" customHeight="false" outlineLevel="0" collapsed="false">
      <c r="A31" s="12" t="s">
        <v>85</v>
      </c>
      <c r="B31" s="18"/>
      <c r="C31" s="23" t="n">
        <v>0.015</v>
      </c>
      <c r="D31" s="23" t="n">
        <v>0.04</v>
      </c>
      <c r="E31" s="23" t="n">
        <v>0.06</v>
      </c>
      <c r="F31" s="23" t="n">
        <v>0.075</v>
      </c>
      <c r="G31" s="23" t="n">
        <v>0.085</v>
      </c>
      <c r="H31" s="18" t="s">
        <v>86</v>
      </c>
    </row>
    <row r="32" customFormat="false" ht="15" hidden="false" customHeight="false" outlineLevel="0" collapsed="false">
      <c r="A32" s="12" t="s">
        <v>87</v>
      </c>
      <c r="B32" s="18"/>
      <c r="C32" s="30" t="n">
        <v>1</v>
      </c>
      <c r="D32" s="30" t="n">
        <v>2</v>
      </c>
      <c r="E32" s="30" t="n">
        <v>3</v>
      </c>
      <c r="F32" s="30" t="n">
        <v>3.5</v>
      </c>
      <c r="G32" s="30" t="n">
        <v>4</v>
      </c>
      <c r="H32" s="18" t="s">
        <v>88</v>
      </c>
    </row>
    <row r="33" customFormat="false" ht="15" hidden="false" customHeight="false" outlineLevel="0" collapsed="false">
      <c r="A33" s="12" t="s">
        <v>89</v>
      </c>
      <c r="B33" s="18"/>
      <c r="C33" s="24" t="n">
        <v>1</v>
      </c>
      <c r="D33" s="24" t="n">
        <v>0.97</v>
      </c>
      <c r="E33" s="24" t="n">
        <v>0.95</v>
      </c>
      <c r="F33" s="24" t="n">
        <v>0.94</v>
      </c>
      <c r="G33" s="24" t="n">
        <v>0.93</v>
      </c>
      <c r="H33" s="18" t="s">
        <v>90</v>
      </c>
    </row>
    <row r="34" customFormat="false" ht="15" hidden="false" customHeight="false" outlineLevel="0" collapsed="false">
      <c r="A34" s="2"/>
      <c r="B34" s="2"/>
      <c r="C34" s="2"/>
      <c r="D34" s="2"/>
      <c r="E34" s="2"/>
      <c r="F34" s="2"/>
      <c r="G34" s="2"/>
      <c r="H34" s="2"/>
    </row>
    <row r="35" customFormat="false" ht="15" hidden="false" customHeight="false" outlineLevel="0" collapsed="false">
      <c r="A35" s="16" t="s">
        <v>91</v>
      </c>
      <c r="B35" s="17"/>
      <c r="C35" s="17"/>
      <c r="D35" s="17"/>
      <c r="E35" s="17"/>
      <c r="F35" s="17"/>
      <c r="G35" s="17"/>
      <c r="H35" s="17"/>
    </row>
    <row r="36" customFormat="false" ht="15" hidden="false" customHeight="false" outlineLevel="0" collapsed="false">
      <c r="A36" s="5" t="s">
        <v>79</v>
      </c>
      <c r="B36" s="6"/>
      <c r="C36" s="7" t="s">
        <v>80</v>
      </c>
      <c r="D36" s="7" t="s">
        <v>81</v>
      </c>
      <c r="E36" s="7" t="s">
        <v>82</v>
      </c>
      <c r="F36" s="7" t="s">
        <v>83</v>
      </c>
      <c r="G36" s="7" t="s">
        <v>84</v>
      </c>
      <c r="H36" s="6"/>
    </row>
    <row r="37" customFormat="false" ht="15" hidden="false" customHeight="false" outlineLevel="0" collapsed="false">
      <c r="A37" s="12" t="s">
        <v>92</v>
      </c>
      <c r="B37" s="18"/>
      <c r="C37" s="23" t="n">
        <v>0.05</v>
      </c>
      <c r="D37" s="23" t="n">
        <v>0.15</v>
      </c>
      <c r="E37" s="23" t="n">
        <v>0.25</v>
      </c>
      <c r="F37" s="23" t="n">
        <v>0.32</v>
      </c>
      <c r="G37" s="23" t="n">
        <v>0.38</v>
      </c>
      <c r="H37" s="18" t="s">
        <v>93</v>
      </c>
    </row>
    <row r="38" customFormat="false" ht="15" hidden="false" customHeight="false" outlineLevel="0" collapsed="false">
      <c r="A38" s="12" t="s">
        <v>94</v>
      </c>
      <c r="B38" s="18"/>
      <c r="C38" s="24" t="n">
        <v>0.02</v>
      </c>
      <c r="D38" s="24" t="n">
        <v>0.05</v>
      </c>
      <c r="E38" s="24" t="n">
        <v>0.08</v>
      </c>
      <c r="F38" s="24" t="n">
        <v>0.1</v>
      </c>
      <c r="G38" s="24" t="n">
        <v>0.12</v>
      </c>
      <c r="H38" s="18" t="s">
        <v>95</v>
      </c>
    </row>
    <row r="39" customFormat="false" ht="15" hidden="false" customHeight="false" outlineLevel="0" collapsed="false">
      <c r="A39" s="12" t="s">
        <v>96</v>
      </c>
      <c r="B39" s="18"/>
      <c r="C39" s="23" t="n">
        <v>0.08</v>
      </c>
      <c r="D39" s="23" t="n">
        <v>0.12</v>
      </c>
      <c r="E39" s="23" t="n">
        <v>0.15</v>
      </c>
      <c r="F39" s="23" t="n">
        <v>0.17</v>
      </c>
      <c r="G39" s="23" t="n">
        <v>0.18</v>
      </c>
      <c r="H39" s="18" t="s">
        <v>97</v>
      </c>
    </row>
    <row r="40" customFormat="false" ht="15" hidden="false" customHeight="false" outlineLevel="0" collapsed="false">
      <c r="A40" s="12" t="s">
        <v>98</v>
      </c>
      <c r="B40" s="18"/>
      <c r="C40" s="24" t="n">
        <v>0.1</v>
      </c>
      <c r="D40" s="24" t="n">
        <v>0.3</v>
      </c>
      <c r="E40" s="24" t="n">
        <v>0.45</v>
      </c>
      <c r="F40" s="24" t="n">
        <v>0.55</v>
      </c>
      <c r="G40" s="24" t="n">
        <v>0.6</v>
      </c>
      <c r="H40" s="18" t="s">
        <v>99</v>
      </c>
    </row>
    <row r="41" customFormat="false" ht="15" hidden="false" customHeight="false" outlineLevel="0" collapsed="false">
      <c r="A41" s="12" t="s">
        <v>100</v>
      </c>
      <c r="B41" s="18"/>
      <c r="C41" s="24" t="n">
        <v>0.1</v>
      </c>
      <c r="D41" s="24" t="n">
        <v>0.3</v>
      </c>
      <c r="E41" s="24" t="n">
        <v>0.5</v>
      </c>
      <c r="F41" s="24" t="n">
        <v>0.6</v>
      </c>
      <c r="G41" s="24" t="n">
        <v>0.65</v>
      </c>
      <c r="H41" s="18" t="s">
        <v>101</v>
      </c>
    </row>
    <row r="42" customFormat="false" ht="15" hidden="false" customHeight="false" outlineLevel="0" collapsed="false">
      <c r="A42" s="12" t="s">
        <v>102</v>
      </c>
      <c r="B42" s="18"/>
      <c r="C42" s="24" t="n">
        <v>0</v>
      </c>
      <c r="D42" s="24" t="n">
        <v>0.02</v>
      </c>
      <c r="E42" s="24" t="n">
        <v>0.05</v>
      </c>
      <c r="F42" s="24" t="n">
        <v>0.08</v>
      </c>
      <c r="G42" s="24" t="n">
        <v>0.1</v>
      </c>
      <c r="H42" s="18" t="s">
        <v>103</v>
      </c>
    </row>
    <row r="43" customFormat="false" ht="15" hidden="false" customHeight="false" outlineLevel="0" collapsed="false">
      <c r="A43" s="12" t="s">
        <v>104</v>
      </c>
      <c r="B43" s="18"/>
      <c r="C43" s="22" t="n">
        <v>0</v>
      </c>
      <c r="D43" s="22" t="n">
        <v>0</v>
      </c>
      <c r="E43" s="22" t="n">
        <v>1</v>
      </c>
      <c r="F43" s="22" t="n">
        <v>1</v>
      </c>
      <c r="G43" s="22" t="n">
        <v>1</v>
      </c>
      <c r="H43" s="18" t="s">
        <v>105</v>
      </c>
    </row>
    <row r="44" customFormat="false" ht="15" hidden="false" customHeight="false" outlineLevel="0" collapsed="false">
      <c r="A44" s="2"/>
      <c r="B44" s="2"/>
      <c r="C44" s="2"/>
      <c r="D44" s="2"/>
      <c r="E44" s="2"/>
      <c r="F44" s="2"/>
      <c r="G44" s="2"/>
      <c r="H44" s="2"/>
    </row>
    <row r="45" customFormat="false" ht="15" hidden="false" customHeight="false" outlineLevel="0" collapsed="false">
      <c r="A45" s="16" t="s">
        <v>106</v>
      </c>
      <c r="B45" s="17"/>
      <c r="C45" s="17"/>
      <c r="D45" s="17"/>
      <c r="E45" s="17"/>
      <c r="F45" s="17"/>
      <c r="G45" s="17"/>
      <c r="H45" s="17"/>
    </row>
    <row r="46" customFormat="false" ht="15" hidden="false" customHeight="false" outlineLevel="0" collapsed="false">
      <c r="A46" s="12" t="s">
        <v>107</v>
      </c>
      <c r="B46" s="18" t="s">
        <v>108</v>
      </c>
      <c r="C46" s="22" t="n">
        <v>28</v>
      </c>
      <c r="D46" s="2"/>
      <c r="E46" s="2"/>
      <c r="F46" s="2"/>
      <c r="G46" s="2"/>
      <c r="H46" s="18" t="s">
        <v>109</v>
      </c>
    </row>
    <row r="47" customFormat="false" ht="15" hidden="false" customHeight="false" outlineLevel="0" collapsed="false">
      <c r="A47" s="12" t="s">
        <v>110</v>
      </c>
      <c r="B47" s="18" t="s">
        <v>111</v>
      </c>
      <c r="C47" s="28" t="n">
        <v>38</v>
      </c>
      <c r="D47" s="2"/>
      <c r="E47" s="2"/>
      <c r="F47" s="2"/>
      <c r="G47" s="2"/>
      <c r="H47" s="18" t="s">
        <v>112</v>
      </c>
    </row>
    <row r="48" customFormat="false" ht="15" hidden="false" customHeight="false" outlineLevel="0" collapsed="false">
      <c r="A48" s="12" t="s">
        <v>113</v>
      </c>
      <c r="B48" s="18" t="s">
        <v>114</v>
      </c>
      <c r="C48" s="22" t="n">
        <v>30</v>
      </c>
      <c r="D48" s="2"/>
      <c r="E48" s="2"/>
      <c r="F48" s="2"/>
      <c r="G48" s="2"/>
      <c r="H48" s="18" t="s">
        <v>115</v>
      </c>
    </row>
    <row r="49" customFormat="false" ht="15" hidden="false" customHeight="false" outlineLevel="0" collapsed="false">
      <c r="A49" s="12" t="s">
        <v>116</v>
      </c>
      <c r="B49" s="18"/>
      <c r="C49" s="24" t="n">
        <v>0.08</v>
      </c>
      <c r="D49" s="2"/>
      <c r="E49" s="2"/>
      <c r="F49" s="2"/>
      <c r="G49" s="2"/>
      <c r="H49" s="18" t="s">
        <v>117</v>
      </c>
    </row>
    <row r="50" customFormat="false" ht="15" hidden="false" customHeight="false" outlineLevel="0" collapsed="false">
      <c r="A50" s="12" t="s">
        <v>118</v>
      </c>
      <c r="B50" s="18" t="s">
        <v>111</v>
      </c>
      <c r="C50" s="28" t="n">
        <v>39</v>
      </c>
      <c r="D50" s="2"/>
      <c r="E50" s="2"/>
      <c r="F50" s="2"/>
      <c r="G50" s="2"/>
      <c r="H50" s="18" t="s">
        <v>119</v>
      </c>
    </row>
    <row r="51" customFormat="false" ht="15" hidden="false" customHeight="false" outlineLevel="0" collapsed="false">
      <c r="A51" s="12" t="s">
        <v>120</v>
      </c>
      <c r="B51" s="18" t="s">
        <v>111</v>
      </c>
      <c r="C51" s="28" t="n">
        <v>99</v>
      </c>
      <c r="D51" s="2"/>
      <c r="E51" s="2"/>
      <c r="F51" s="2"/>
      <c r="G51" s="2"/>
      <c r="H51" s="18" t="s">
        <v>121</v>
      </c>
    </row>
    <row r="52" customFormat="false" ht="15" hidden="false" customHeight="false" outlineLevel="0" collapsed="false">
      <c r="A52" s="12" t="s">
        <v>122</v>
      </c>
      <c r="B52" s="18" t="s">
        <v>123</v>
      </c>
      <c r="C52" s="22" t="n">
        <v>300</v>
      </c>
      <c r="D52" s="2"/>
      <c r="E52" s="2"/>
      <c r="F52" s="2"/>
      <c r="G52" s="2"/>
      <c r="H52" s="18" t="s">
        <v>124</v>
      </c>
    </row>
    <row r="53" customFormat="false" ht="15" hidden="false" customHeight="false" outlineLevel="0" collapsed="false">
      <c r="A53" s="12" t="s">
        <v>125</v>
      </c>
      <c r="B53" s="18" t="s">
        <v>126</v>
      </c>
      <c r="C53" s="28" t="n">
        <v>30</v>
      </c>
      <c r="D53" s="2"/>
      <c r="E53" s="2"/>
      <c r="F53" s="2"/>
      <c r="G53" s="2"/>
      <c r="H53" s="18" t="s">
        <v>127</v>
      </c>
    </row>
    <row r="54" customFormat="false" ht="15" hidden="false" customHeight="false" outlineLevel="0" collapsed="false">
      <c r="A54" s="12" t="s">
        <v>128</v>
      </c>
      <c r="B54" s="18" t="s">
        <v>129</v>
      </c>
      <c r="C54" s="31" t="n">
        <v>6</v>
      </c>
      <c r="D54" s="2"/>
      <c r="E54" s="2"/>
      <c r="F54" s="2"/>
      <c r="G54" s="2"/>
      <c r="H54" s="18" t="s">
        <v>130</v>
      </c>
    </row>
    <row r="55" customFormat="false" ht="15" hidden="false" customHeight="false" outlineLevel="0" collapsed="false">
      <c r="A55" s="12" t="s">
        <v>131</v>
      </c>
      <c r="B55" s="18"/>
      <c r="C55" s="24" t="n">
        <v>0.8</v>
      </c>
      <c r="D55" s="2"/>
      <c r="E55" s="2"/>
      <c r="F55" s="2"/>
      <c r="G55" s="2"/>
      <c r="H55" s="18" t="s">
        <v>132</v>
      </c>
    </row>
    <row r="56" customFormat="false" ht="15" hidden="false" customHeight="false" outlineLevel="0" collapsed="false">
      <c r="A56" s="2"/>
      <c r="B56" s="2"/>
      <c r="C56" s="2"/>
      <c r="D56" s="2"/>
      <c r="E56" s="2"/>
      <c r="F56" s="2"/>
      <c r="G56" s="2"/>
      <c r="H56" s="2"/>
    </row>
    <row r="57" customFormat="false" ht="15" hidden="false" customHeight="false" outlineLevel="0" collapsed="false">
      <c r="A57" s="16" t="s">
        <v>133</v>
      </c>
      <c r="B57" s="17"/>
      <c r="C57" s="17"/>
      <c r="D57" s="17"/>
      <c r="E57" s="17"/>
      <c r="F57" s="17"/>
      <c r="G57" s="17"/>
      <c r="H57" s="17"/>
    </row>
    <row r="58" customFormat="false" ht="15" hidden="false" customHeight="false" outlineLevel="0" collapsed="false">
      <c r="A58" s="12" t="s">
        <v>134</v>
      </c>
      <c r="B58" s="18" t="s">
        <v>135</v>
      </c>
      <c r="C58" s="32" t="n">
        <v>0.15</v>
      </c>
      <c r="D58" s="2"/>
      <c r="E58" s="2"/>
      <c r="F58" s="2"/>
      <c r="G58" s="2"/>
      <c r="H58" s="18" t="s">
        <v>136</v>
      </c>
    </row>
    <row r="59" customFormat="false" ht="15" hidden="false" customHeight="false" outlineLevel="0" collapsed="false">
      <c r="A59" s="12" t="s">
        <v>137</v>
      </c>
      <c r="B59" s="18" t="s">
        <v>138</v>
      </c>
      <c r="C59" s="31" t="n">
        <v>0.5</v>
      </c>
      <c r="D59" s="2"/>
      <c r="E59" s="2"/>
      <c r="F59" s="2"/>
      <c r="G59" s="2"/>
      <c r="H59" s="18" t="s">
        <v>139</v>
      </c>
    </row>
    <row r="60" customFormat="false" ht="15" hidden="false" customHeight="false" outlineLevel="0" collapsed="false">
      <c r="A60" s="12" t="s">
        <v>140</v>
      </c>
      <c r="B60" s="18" t="s">
        <v>138</v>
      </c>
      <c r="C60" s="31" t="n">
        <v>5</v>
      </c>
      <c r="D60" s="2"/>
      <c r="E60" s="2"/>
      <c r="F60" s="2"/>
      <c r="G60" s="2"/>
      <c r="H60" s="18" t="s">
        <v>141</v>
      </c>
    </row>
    <row r="61" customFormat="false" ht="15" hidden="false" customHeight="false" outlineLevel="0" collapsed="false">
      <c r="A61" s="12" t="s">
        <v>142</v>
      </c>
      <c r="B61" s="18" t="s">
        <v>111</v>
      </c>
      <c r="C61" s="28" t="n">
        <v>25</v>
      </c>
      <c r="D61" s="2"/>
      <c r="E61" s="2"/>
      <c r="F61" s="2"/>
      <c r="G61" s="2"/>
      <c r="H61" s="18" t="s">
        <v>143</v>
      </c>
    </row>
    <row r="62" customFormat="false" ht="15" hidden="false" customHeight="false" outlineLevel="0" collapsed="false">
      <c r="A62" s="12" t="s">
        <v>144</v>
      </c>
      <c r="B62" s="18" t="s">
        <v>145</v>
      </c>
      <c r="C62" s="31" t="n">
        <v>0.1</v>
      </c>
      <c r="D62" s="2"/>
      <c r="E62" s="2"/>
      <c r="F62" s="2"/>
      <c r="G62" s="2"/>
      <c r="H62" s="18" t="s">
        <v>146</v>
      </c>
    </row>
    <row r="63" customFormat="false" ht="15" hidden="false" customHeight="false" outlineLevel="0" collapsed="false">
      <c r="A63" s="12" t="s">
        <v>147</v>
      </c>
      <c r="B63" s="18"/>
      <c r="C63" s="24" t="n">
        <v>0.029</v>
      </c>
      <c r="D63" s="2"/>
      <c r="E63" s="2"/>
      <c r="F63" s="2"/>
      <c r="G63" s="2"/>
      <c r="H63" s="18" t="s">
        <v>148</v>
      </c>
    </row>
    <row r="64" customFormat="false" ht="15" hidden="false" customHeight="false" outlineLevel="0" collapsed="false">
      <c r="A64" s="12" t="s">
        <v>149</v>
      </c>
      <c r="B64" s="18" t="s">
        <v>150</v>
      </c>
      <c r="C64" s="31" t="n">
        <v>0.3</v>
      </c>
      <c r="D64" s="2"/>
      <c r="E64" s="2"/>
      <c r="F64" s="2"/>
      <c r="G64" s="2"/>
      <c r="H64" s="18" t="s">
        <v>151</v>
      </c>
    </row>
    <row r="65" customFormat="false" ht="15" hidden="false" customHeight="false" outlineLevel="0" collapsed="false">
      <c r="A65" s="12" t="s">
        <v>152</v>
      </c>
      <c r="B65" s="18" t="s">
        <v>153</v>
      </c>
      <c r="C65" s="28" t="n">
        <v>20</v>
      </c>
      <c r="D65" s="2"/>
      <c r="E65" s="2"/>
      <c r="F65" s="2"/>
      <c r="G65" s="2"/>
      <c r="H65" s="18" t="s">
        <v>154</v>
      </c>
    </row>
    <row r="66" customFormat="false" ht="15" hidden="false" customHeight="false" outlineLevel="0" collapsed="false">
      <c r="A66" s="12" t="s">
        <v>155</v>
      </c>
      <c r="B66" s="18" t="s">
        <v>156</v>
      </c>
      <c r="C66" s="28" t="n">
        <v>25</v>
      </c>
      <c r="D66" s="2"/>
      <c r="E66" s="2"/>
      <c r="F66" s="2"/>
      <c r="G66" s="2"/>
      <c r="H66" s="18" t="s">
        <v>157</v>
      </c>
    </row>
    <row r="67" customFormat="false" ht="15" hidden="false" customHeight="false" outlineLevel="0" collapsed="false">
      <c r="A67" s="12" t="s">
        <v>158</v>
      </c>
      <c r="B67" s="18" t="s">
        <v>156</v>
      </c>
      <c r="C67" s="28" t="n">
        <v>15</v>
      </c>
      <c r="D67" s="2"/>
      <c r="E67" s="2"/>
      <c r="F67" s="2"/>
      <c r="G67" s="2"/>
      <c r="H67" s="18" t="s">
        <v>154</v>
      </c>
    </row>
    <row r="68" customFormat="false" ht="15" hidden="false" customHeight="false" outlineLevel="0" collapsed="false">
      <c r="A68" s="12" t="s">
        <v>159</v>
      </c>
      <c r="B68" s="18" t="s">
        <v>156</v>
      </c>
      <c r="C68" s="33" t="n">
        <v>0</v>
      </c>
      <c r="D68" s="2"/>
      <c r="E68" s="2"/>
      <c r="F68" s="2"/>
      <c r="G68" s="2"/>
      <c r="H68" s="18" t="s">
        <v>160</v>
      </c>
    </row>
    <row r="69" customFormat="false" ht="15" hidden="false" customHeight="false" outlineLevel="0" collapsed="false">
      <c r="A69" s="12" t="s">
        <v>161</v>
      </c>
      <c r="B69" s="18" t="s">
        <v>162</v>
      </c>
      <c r="C69" s="31" t="n">
        <v>2</v>
      </c>
      <c r="D69" s="2"/>
      <c r="E69" s="2"/>
      <c r="F69" s="2"/>
      <c r="G69" s="2"/>
      <c r="H69" s="18" t="s">
        <v>154</v>
      </c>
    </row>
    <row r="70" customFormat="false" ht="15" hidden="false" customHeight="false" outlineLevel="0" collapsed="false">
      <c r="A70" s="12" t="s">
        <v>163</v>
      </c>
      <c r="B70" s="18"/>
      <c r="C70" s="24" t="n">
        <v>0</v>
      </c>
      <c r="D70" s="2"/>
      <c r="E70" s="2"/>
      <c r="F70" s="2"/>
      <c r="G70" s="2"/>
      <c r="H70" s="18" t="s">
        <v>164</v>
      </c>
    </row>
    <row r="71" customFormat="false" ht="15" hidden="false" customHeight="false" outlineLevel="0" collapsed="false">
      <c r="A71" s="2"/>
      <c r="B71" s="2"/>
      <c r="C71" s="2"/>
      <c r="D71" s="2"/>
      <c r="E71" s="2"/>
      <c r="F71" s="2"/>
      <c r="G71" s="2"/>
      <c r="H71" s="2"/>
    </row>
    <row r="72" customFormat="false" ht="15" hidden="false" customHeight="false" outlineLevel="0" collapsed="false">
      <c r="A72" s="16" t="s">
        <v>165</v>
      </c>
      <c r="B72" s="17"/>
      <c r="C72" s="17"/>
      <c r="D72" s="17"/>
      <c r="E72" s="17"/>
      <c r="F72" s="17"/>
      <c r="G72" s="17"/>
      <c r="H72" s="17"/>
    </row>
    <row r="73" customFormat="false" ht="15" hidden="false" customHeight="false" outlineLevel="0" collapsed="false">
      <c r="A73" s="12" t="s">
        <v>166</v>
      </c>
      <c r="B73" s="18"/>
      <c r="C73" s="24" t="n">
        <v>0.25</v>
      </c>
      <c r="D73" s="2"/>
      <c r="E73" s="2"/>
      <c r="F73" s="2"/>
      <c r="G73" s="2"/>
      <c r="H73" s="18" t="s">
        <v>154</v>
      </c>
    </row>
    <row r="74" customFormat="false" ht="15" hidden="false" customHeight="false" outlineLevel="0" collapsed="false">
      <c r="A74" s="12" t="s">
        <v>167</v>
      </c>
      <c r="B74" s="18"/>
      <c r="C74" s="24" t="n">
        <v>0.03</v>
      </c>
      <c r="D74" s="2"/>
      <c r="E74" s="2"/>
      <c r="F74" s="2"/>
      <c r="G74" s="2"/>
      <c r="H74" s="18" t="s">
        <v>154</v>
      </c>
    </row>
    <row r="75" customFormat="false" ht="15" hidden="false" customHeight="false" outlineLevel="0" collapsed="false">
      <c r="A75" s="12" t="s">
        <v>168</v>
      </c>
      <c r="B75" s="18"/>
      <c r="C75" s="24" t="n">
        <v>0</v>
      </c>
      <c r="D75" s="2"/>
      <c r="E75" s="2"/>
      <c r="F75" s="2"/>
      <c r="G75" s="2"/>
      <c r="H75" s="18" t="s">
        <v>169</v>
      </c>
    </row>
    <row r="76" customFormat="false" ht="15" hidden="false" customHeight="false" outlineLevel="0" collapsed="false">
      <c r="A76" s="12" t="s">
        <v>170</v>
      </c>
      <c r="B76" s="18" t="s">
        <v>52</v>
      </c>
      <c r="C76" s="25" t="n">
        <v>1000</v>
      </c>
      <c r="D76" s="2"/>
      <c r="E76" s="2"/>
      <c r="F76" s="2"/>
      <c r="G76" s="2"/>
      <c r="H76" s="18" t="s">
        <v>171</v>
      </c>
    </row>
    <row r="77" customFormat="false" ht="15" hidden="false" customHeight="false" outlineLevel="0" collapsed="false">
      <c r="A77" s="12" t="s">
        <v>172</v>
      </c>
      <c r="B77" s="18" t="s">
        <v>52</v>
      </c>
      <c r="C77" s="25" t="n">
        <v>1000</v>
      </c>
      <c r="D77" s="2"/>
      <c r="E77" s="2"/>
      <c r="F77" s="2"/>
      <c r="G77" s="2"/>
      <c r="H77" s="18" t="s">
        <v>173</v>
      </c>
    </row>
    <row r="78" customFormat="false" ht="15" hidden="false" customHeight="false" outlineLevel="0" collapsed="false">
      <c r="A78" s="12" t="s">
        <v>174</v>
      </c>
      <c r="B78" s="18" t="s">
        <v>52</v>
      </c>
      <c r="C78" s="22" t="n">
        <v>120</v>
      </c>
      <c r="D78" s="2"/>
      <c r="E78" s="2"/>
      <c r="F78" s="2"/>
      <c r="G78" s="2"/>
      <c r="H78" s="18" t="s">
        <v>154</v>
      </c>
    </row>
    <row r="79" customFormat="false" ht="15" hidden="false" customHeight="false" outlineLevel="0" collapsed="false">
      <c r="A79" s="12" t="s">
        <v>175</v>
      </c>
      <c r="B79" s="18" t="s">
        <v>176</v>
      </c>
      <c r="C79" s="34" t="n">
        <v>2</v>
      </c>
      <c r="D79" s="2"/>
      <c r="E79" s="2"/>
      <c r="F79" s="2"/>
      <c r="G79" s="2"/>
      <c r="H79" s="18" t="s">
        <v>177</v>
      </c>
    </row>
    <row r="80" customFormat="false" ht="15" hidden="false" customHeight="false" outlineLevel="0" collapsed="false">
      <c r="A80" s="12" t="s">
        <v>178</v>
      </c>
      <c r="B80" s="18"/>
      <c r="C80" s="23" t="n">
        <v>0.4</v>
      </c>
      <c r="D80" s="2"/>
      <c r="E80" s="2"/>
      <c r="F80" s="2"/>
      <c r="G80" s="2"/>
      <c r="H80" s="18" t="s">
        <v>179</v>
      </c>
    </row>
    <row r="81" customFormat="false" ht="15" hidden="false" customHeight="false" outlineLevel="0" collapsed="false">
      <c r="A81" s="2"/>
      <c r="B81" s="2"/>
      <c r="C81" s="2"/>
      <c r="D81" s="2"/>
      <c r="E81" s="2"/>
      <c r="F81" s="2"/>
      <c r="G81" s="2"/>
      <c r="H81" s="2"/>
    </row>
    <row r="82" customFormat="false" ht="15" hidden="false" customHeight="false" outlineLevel="0" collapsed="false">
      <c r="A82" s="16" t="s">
        <v>180</v>
      </c>
      <c r="B82" s="17"/>
      <c r="C82" s="17"/>
      <c r="D82" s="17"/>
      <c r="E82" s="17"/>
      <c r="F82" s="17"/>
      <c r="G82" s="17"/>
      <c r="H82" s="17"/>
    </row>
    <row r="83" customFormat="false" ht="15" hidden="false" customHeight="false" outlineLevel="0" collapsed="false">
      <c r="A83" s="12" t="s">
        <v>181</v>
      </c>
      <c r="B83" s="18" t="s">
        <v>153</v>
      </c>
      <c r="C83" s="28" t="n">
        <v>160000</v>
      </c>
      <c r="D83" s="2"/>
      <c r="E83" s="2"/>
      <c r="F83" s="2"/>
      <c r="G83" s="2"/>
      <c r="H83" s="18" t="s">
        <v>182</v>
      </c>
    </row>
    <row r="84" customFormat="false" ht="15" hidden="false" customHeight="false" outlineLevel="0" collapsed="false">
      <c r="A84" s="12" t="s">
        <v>183</v>
      </c>
      <c r="B84" s="18" t="s">
        <v>153</v>
      </c>
      <c r="C84" s="28" t="n">
        <v>170000</v>
      </c>
      <c r="D84" s="2"/>
      <c r="E84" s="2"/>
      <c r="F84" s="2"/>
      <c r="G84" s="2"/>
      <c r="H84" s="18" t="s">
        <v>154</v>
      </c>
    </row>
    <row r="85" customFormat="false" ht="15" hidden="false" customHeight="false" outlineLevel="0" collapsed="false">
      <c r="A85" s="12" t="s">
        <v>184</v>
      </c>
      <c r="B85" s="18" t="s">
        <v>153</v>
      </c>
      <c r="C85" s="28" t="n">
        <v>70000</v>
      </c>
      <c r="D85" s="2"/>
      <c r="E85" s="2"/>
      <c r="F85" s="2"/>
      <c r="G85" s="2"/>
      <c r="H85" s="18" t="s">
        <v>154</v>
      </c>
    </row>
    <row r="86" customFormat="false" ht="15" hidden="false" customHeight="false" outlineLevel="0" collapsed="false">
      <c r="A86" s="12" t="s">
        <v>185</v>
      </c>
      <c r="B86" s="18" t="s">
        <v>153</v>
      </c>
      <c r="C86" s="28" t="n">
        <v>65000</v>
      </c>
      <c r="D86" s="2"/>
      <c r="E86" s="2"/>
      <c r="F86" s="2"/>
      <c r="G86" s="2"/>
      <c r="H86" s="18" t="s">
        <v>154</v>
      </c>
    </row>
    <row r="87" customFormat="false" ht="15" hidden="false" customHeight="false" outlineLevel="0" collapsed="false">
      <c r="A87" s="12" t="s">
        <v>186</v>
      </c>
      <c r="B87" s="18" t="s">
        <v>153</v>
      </c>
      <c r="C87" s="28" t="n">
        <v>55000</v>
      </c>
      <c r="D87" s="2"/>
      <c r="E87" s="2"/>
      <c r="F87" s="2"/>
      <c r="G87" s="2"/>
      <c r="H87" s="18" t="s">
        <v>154</v>
      </c>
    </row>
    <row r="88" customFormat="false" ht="15" hidden="false" customHeight="false" outlineLevel="0" collapsed="false">
      <c r="A88" s="12" t="s">
        <v>187</v>
      </c>
      <c r="B88" s="18" t="s">
        <v>153</v>
      </c>
      <c r="C88" s="28" t="n">
        <v>110000</v>
      </c>
      <c r="D88" s="2"/>
      <c r="E88" s="2"/>
      <c r="F88" s="2"/>
      <c r="G88" s="2"/>
      <c r="H88" s="18" t="s">
        <v>154</v>
      </c>
    </row>
    <row r="89" customFormat="false" ht="15" hidden="false" customHeight="false" outlineLevel="0" collapsed="false">
      <c r="A89" s="2"/>
      <c r="B89" s="2"/>
      <c r="C89" s="2"/>
      <c r="D89" s="2"/>
      <c r="E89" s="2"/>
      <c r="F89" s="2"/>
      <c r="G89" s="2"/>
      <c r="H89" s="2"/>
    </row>
    <row r="90" customFormat="false" ht="15" hidden="false" customHeight="false" outlineLevel="0" collapsed="false">
      <c r="A90" s="16" t="s">
        <v>188</v>
      </c>
      <c r="B90" s="17"/>
      <c r="C90" s="17"/>
      <c r="D90" s="17"/>
      <c r="E90" s="17"/>
      <c r="F90" s="17"/>
      <c r="G90" s="17"/>
      <c r="H90" s="17"/>
    </row>
    <row r="91" customFormat="false" ht="15" hidden="false" customHeight="false" outlineLevel="0" collapsed="false">
      <c r="A91" s="5" t="s">
        <v>58</v>
      </c>
      <c r="B91" s="6"/>
      <c r="C91" s="7" t="s">
        <v>4</v>
      </c>
      <c r="D91" s="7" t="s">
        <v>5</v>
      </c>
      <c r="E91" s="7" t="s">
        <v>6</v>
      </c>
      <c r="F91" s="7" t="s">
        <v>7</v>
      </c>
      <c r="G91" s="7" t="s">
        <v>8</v>
      </c>
      <c r="H91" s="6"/>
    </row>
    <row r="92" customFormat="false" ht="15" hidden="false" customHeight="false" outlineLevel="0" collapsed="false">
      <c r="A92" s="12" t="s">
        <v>189</v>
      </c>
      <c r="B92" s="18" t="s">
        <v>190</v>
      </c>
      <c r="C92" s="22" t="n">
        <v>0</v>
      </c>
      <c r="D92" s="22" t="n">
        <v>0</v>
      </c>
      <c r="E92" s="22" t="n">
        <v>0</v>
      </c>
      <c r="F92" s="22" t="n">
        <v>1</v>
      </c>
      <c r="G92" s="22" t="n">
        <v>2</v>
      </c>
      <c r="H92" s="18" t="s">
        <v>191</v>
      </c>
    </row>
    <row r="93" customFormat="false" ht="15" hidden="false" customHeight="false" outlineLevel="0" collapsed="false">
      <c r="A93" s="12" t="s">
        <v>192</v>
      </c>
      <c r="B93" s="18" t="s">
        <v>190</v>
      </c>
      <c r="C93" s="22" t="n">
        <v>0</v>
      </c>
      <c r="D93" s="22" t="n">
        <v>1</v>
      </c>
      <c r="E93" s="22" t="n">
        <v>2</v>
      </c>
      <c r="F93" s="22" t="n">
        <v>4</v>
      </c>
      <c r="G93" s="22" t="n">
        <v>6</v>
      </c>
      <c r="H93" s="18" t="s">
        <v>193</v>
      </c>
    </row>
    <row r="94" customFormat="false" ht="15" hidden="false" customHeight="false" outlineLevel="0" collapsed="false">
      <c r="A94" s="12" t="s">
        <v>187</v>
      </c>
      <c r="B94" s="18" t="s">
        <v>190</v>
      </c>
      <c r="C94" s="22" t="n">
        <v>0</v>
      </c>
      <c r="D94" s="22" t="n">
        <v>0</v>
      </c>
      <c r="E94" s="22" t="n">
        <v>1</v>
      </c>
      <c r="F94" s="22" t="n">
        <v>1</v>
      </c>
      <c r="G94" s="22" t="n">
        <v>2</v>
      </c>
      <c r="H94" s="18" t="s">
        <v>194</v>
      </c>
    </row>
    <row r="95" customFormat="false" ht="15" hidden="false" customHeight="false" outlineLevel="0" collapsed="false">
      <c r="A95" s="2"/>
      <c r="B95" s="2"/>
      <c r="C95" s="2"/>
      <c r="D95" s="2"/>
      <c r="E95" s="2"/>
      <c r="F95" s="2"/>
      <c r="G95" s="2"/>
      <c r="H95" s="2"/>
    </row>
    <row r="96" customFormat="false" ht="15" hidden="false" customHeight="false" outlineLevel="0" collapsed="false">
      <c r="A96" s="16" t="s">
        <v>195</v>
      </c>
      <c r="B96" s="17"/>
      <c r="C96" s="17"/>
      <c r="D96" s="17"/>
      <c r="E96" s="17"/>
      <c r="F96" s="17"/>
      <c r="G96" s="17"/>
      <c r="H96" s="17"/>
    </row>
    <row r="97" customFormat="false" ht="15" hidden="false" customHeight="false" outlineLevel="0" collapsed="false">
      <c r="A97" s="5" t="s">
        <v>58</v>
      </c>
      <c r="B97" s="6"/>
      <c r="C97" s="7" t="s">
        <v>4</v>
      </c>
      <c r="D97" s="7" t="s">
        <v>5</v>
      </c>
      <c r="E97" s="7" t="s">
        <v>6</v>
      </c>
      <c r="F97" s="7" t="s">
        <v>7</v>
      </c>
      <c r="G97" s="7" t="s">
        <v>8</v>
      </c>
      <c r="H97" s="6"/>
    </row>
    <row r="98" customFormat="false" ht="15" hidden="false" customHeight="false" outlineLevel="0" collapsed="false">
      <c r="A98" s="12" t="s">
        <v>196</v>
      </c>
      <c r="B98" s="18" t="s">
        <v>197</v>
      </c>
      <c r="C98" s="33" t="n">
        <v>1500</v>
      </c>
      <c r="D98" s="33" t="n">
        <v>3000</v>
      </c>
      <c r="E98" s="33" t="n">
        <v>6000</v>
      </c>
      <c r="F98" s="33" t="n">
        <v>12000</v>
      </c>
      <c r="G98" s="33" t="n">
        <v>20000</v>
      </c>
      <c r="H98" s="18" t="s">
        <v>198</v>
      </c>
    </row>
    <row r="99" customFormat="false" ht="15" hidden="false" customHeight="false" outlineLevel="0" collapsed="false">
      <c r="A99" s="12" t="s">
        <v>199</v>
      </c>
      <c r="B99" s="18"/>
      <c r="C99" s="24" t="n">
        <v>0.02</v>
      </c>
      <c r="D99" s="2"/>
      <c r="E99" s="2"/>
      <c r="F99" s="2"/>
      <c r="G99" s="2"/>
      <c r="H99" s="18" t="s">
        <v>200</v>
      </c>
    </row>
    <row r="100" customFormat="false" ht="15" hidden="false" customHeight="false" outlineLevel="0" collapsed="false">
      <c r="A100" s="12" t="s">
        <v>201</v>
      </c>
      <c r="B100" s="18" t="s">
        <v>111</v>
      </c>
      <c r="C100" s="28" t="n">
        <v>100</v>
      </c>
      <c r="D100" s="2"/>
      <c r="E100" s="2"/>
      <c r="F100" s="2"/>
      <c r="G100" s="2"/>
      <c r="H100" s="18" t="s">
        <v>202</v>
      </c>
    </row>
    <row r="101" customFormat="false" ht="15" hidden="false" customHeight="false" outlineLevel="0" collapsed="false">
      <c r="A101" s="12" t="s">
        <v>203</v>
      </c>
      <c r="B101" s="18" t="s">
        <v>204</v>
      </c>
      <c r="C101" s="28" t="n">
        <v>100</v>
      </c>
      <c r="D101" s="2"/>
      <c r="E101" s="2"/>
      <c r="F101" s="2"/>
      <c r="G101" s="2"/>
      <c r="H101" s="18" t="s">
        <v>154</v>
      </c>
    </row>
    <row r="102" customFormat="false" ht="15" hidden="false" customHeight="false" outlineLevel="0" collapsed="false">
      <c r="A102" s="12" t="s">
        <v>205</v>
      </c>
      <c r="B102" s="18" t="s">
        <v>153</v>
      </c>
      <c r="C102" s="28" t="n">
        <v>3000</v>
      </c>
      <c r="D102" s="2"/>
      <c r="E102" s="2"/>
      <c r="F102" s="2"/>
      <c r="G102" s="2"/>
      <c r="H102" s="18" t="s">
        <v>154</v>
      </c>
    </row>
    <row r="103" customFormat="false" ht="15" hidden="false" customHeight="false" outlineLevel="0" collapsed="false">
      <c r="A103" s="12" t="s">
        <v>206</v>
      </c>
      <c r="B103" s="18" t="s">
        <v>207</v>
      </c>
      <c r="C103" s="28" t="n">
        <v>2500</v>
      </c>
      <c r="D103" s="2"/>
      <c r="E103" s="2"/>
      <c r="F103" s="2"/>
      <c r="G103" s="2"/>
      <c r="H103" s="18" t="s">
        <v>154</v>
      </c>
    </row>
    <row r="104" customFormat="false" ht="15" hidden="false" customHeight="false" outlineLevel="0" collapsed="false">
      <c r="A104" s="12" t="s">
        <v>208</v>
      </c>
      <c r="B104" s="18" t="s">
        <v>209</v>
      </c>
      <c r="C104" s="22" t="n">
        <v>3</v>
      </c>
      <c r="D104" s="2"/>
      <c r="E104" s="2"/>
      <c r="F104" s="2"/>
      <c r="G104" s="2"/>
      <c r="H104" s="18" t="s">
        <v>210</v>
      </c>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16" t="s">
        <v>211</v>
      </c>
      <c r="B106" s="17"/>
      <c r="C106" s="17"/>
      <c r="D106" s="17"/>
      <c r="E106" s="17"/>
      <c r="F106" s="17"/>
      <c r="G106" s="17"/>
      <c r="H106" s="17"/>
    </row>
    <row r="107" customFormat="false" ht="15" hidden="false" customHeight="false" outlineLevel="0" collapsed="false">
      <c r="A107" s="12" t="s">
        <v>212</v>
      </c>
      <c r="B107" s="18"/>
      <c r="C107" s="24" t="n">
        <v>0.25</v>
      </c>
      <c r="D107" s="2"/>
      <c r="E107" s="2"/>
      <c r="F107" s="2"/>
      <c r="G107" s="2"/>
      <c r="H107" s="18" t="s">
        <v>213</v>
      </c>
    </row>
    <row r="108" customFormat="false" ht="15" hidden="false" customHeight="false" outlineLevel="0" collapsed="false">
      <c r="A108" s="12" t="s">
        <v>214</v>
      </c>
      <c r="B108" s="18"/>
      <c r="C108" s="24" t="n">
        <v>0.03</v>
      </c>
      <c r="D108" s="2"/>
      <c r="E108" s="2"/>
      <c r="F108" s="2"/>
      <c r="G108" s="2"/>
      <c r="H108" s="18" t="s">
        <v>215</v>
      </c>
    </row>
    <row r="109" customFormat="false" ht="15" hidden="false" customHeight="false" outlineLevel="0" collapsed="false">
      <c r="A109" s="12" t="s">
        <v>216</v>
      </c>
      <c r="B109" s="18" t="s">
        <v>197</v>
      </c>
      <c r="C109" s="33" t="n">
        <v>5000</v>
      </c>
      <c r="D109" s="2"/>
      <c r="E109" s="2"/>
      <c r="F109" s="2"/>
      <c r="G109" s="2"/>
      <c r="H109" s="18" t="s">
        <v>217</v>
      </c>
    </row>
    <row r="110" customFormat="false" ht="15" hidden="false" customHeight="false" outlineLevel="0" collapsed="false">
      <c r="A110" s="12" t="s">
        <v>218</v>
      </c>
      <c r="B110" s="18" t="s">
        <v>197</v>
      </c>
      <c r="C110" s="33" t="n">
        <v>1000</v>
      </c>
      <c r="D110" s="2"/>
      <c r="E110" s="2"/>
      <c r="F110" s="2"/>
      <c r="G110" s="2"/>
      <c r="H110" s="18" t="s">
        <v>219</v>
      </c>
    </row>
    <row r="111" customFormat="false" ht="15" hidden="false" customHeight="false" outlineLevel="0" collapsed="false">
      <c r="A111" s="12" t="s">
        <v>220</v>
      </c>
      <c r="B111" s="18" t="s">
        <v>221</v>
      </c>
      <c r="C111" s="22" t="n">
        <v>4</v>
      </c>
      <c r="D111" s="2"/>
      <c r="E111" s="2"/>
      <c r="F111" s="2"/>
      <c r="G111" s="2"/>
      <c r="H111" s="18" t="s">
        <v>222</v>
      </c>
    </row>
    <row r="112" customFormat="false" ht="15" hidden="false" customHeight="false" outlineLevel="0" collapsed="false">
      <c r="A112" s="2"/>
      <c r="B112" s="2"/>
      <c r="C112" s="2"/>
      <c r="D112" s="2"/>
      <c r="E112" s="2"/>
      <c r="F112" s="2"/>
      <c r="G112" s="2"/>
      <c r="H112" s="2"/>
    </row>
    <row r="113" customFormat="false" ht="15" hidden="false" customHeight="false" outlineLevel="0" collapsed="false">
      <c r="A113" s="5" t="s">
        <v>58</v>
      </c>
      <c r="B113" s="6"/>
      <c r="C113" s="7" t="s">
        <v>4</v>
      </c>
      <c r="D113" s="7" t="s">
        <v>5</v>
      </c>
      <c r="E113" s="7" t="s">
        <v>6</v>
      </c>
      <c r="F113" s="7" t="s">
        <v>7</v>
      </c>
      <c r="G113" s="7" t="s">
        <v>8</v>
      </c>
      <c r="H113" s="6"/>
    </row>
    <row r="114" customFormat="false" ht="15" hidden="false" customHeight="false" outlineLevel="0" collapsed="false">
      <c r="A114" s="12" t="s">
        <v>223</v>
      </c>
      <c r="B114" s="18" t="s">
        <v>197</v>
      </c>
      <c r="C114" s="33" t="n">
        <v>0</v>
      </c>
      <c r="D114" s="33" t="n">
        <v>0</v>
      </c>
      <c r="E114" s="33" t="n">
        <v>0</v>
      </c>
      <c r="F114" s="33" t="n">
        <v>0</v>
      </c>
      <c r="G114" s="33" t="n">
        <v>0</v>
      </c>
      <c r="H114" s="18" t="s">
        <v>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7" min="3" style="0" width="13"/>
    <col collapsed="false" customWidth="true" hidden="false" outlineLevel="0" max="8" min="8" style="0" width="60"/>
  </cols>
  <sheetData>
    <row r="1" customFormat="false" ht="17.35" hidden="false" customHeight="false" outlineLevel="0" collapsed="false">
      <c r="A1" s="1" t="s">
        <v>225</v>
      </c>
      <c r="B1" s="2"/>
      <c r="C1" s="2"/>
      <c r="D1" s="2"/>
      <c r="E1" s="2"/>
      <c r="F1" s="2"/>
      <c r="G1" s="2"/>
      <c r="H1" s="2"/>
    </row>
    <row r="2" customFormat="false" ht="15" hidden="false" customHeight="false" outlineLevel="0" collapsed="false">
      <c r="A2" s="3" t="s">
        <v>226</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5" t="s">
        <v>58</v>
      </c>
      <c r="B4" s="6"/>
      <c r="C4" s="7" t="s">
        <v>4</v>
      </c>
      <c r="D4" s="7" t="s">
        <v>5</v>
      </c>
      <c r="E4" s="7" t="s">
        <v>6</v>
      </c>
      <c r="F4" s="7" t="s">
        <v>7</v>
      </c>
      <c r="G4" s="7" t="s">
        <v>8</v>
      </c>
      <c r="H4" s="6"/>
    </row>
    <row r="5" customFormat="false" ht="15" hidden="false" customHeight="false" outlineLevel="0" collapsed="false">
      <c r="A5" s="12" t="s">
        <v>227</v>
      </c>
      <c r="B5" s="2"/>
      <c r="C5" s="35" t="n">
        <f aca="false">SUM(Monthly!H31:H42)</f>
        <v>28</v>
      </c>
      <c r="D5" s="35" t="n">
        <f aca="false">SUM(Monthly!H43:H54)</f>
        <v>43</v>
      </c>
      <c r="E5" s="35" t="n">
        <f aca="false">SUM(Monthly!H55:H66)</f>
        <v>211</v>
      </c>
      <c r="F5" s="35" t="n">
        <f aca="false">SUM(Monthly!H67:H78)</f>
        <v>864</v>
      </c>
      <c r="G5" s="35" t="n">
        <f aca="false">SUM(Monthly!H79:H90)</f>
        <v>1707</v>
      </c>
      <c r="H5" s="2" t="s">
        <v>228</v>
      </c>
    </row>
    <row r="6" customFormat="false" ht="15" hidden="false" customHeight="false" outlineLevel="0" collapsed="false">
      <c r="A6" s="12" t="s">
        <v>229</v>
      </c>
      <c r="B6" s="2"/>
      <c r="C6" s="35" t="n">
        <f aca="false">Monthly!I42</f>
        <v>28</v>
      </c>
      <c r="D6" s="35" t="n">
        <f aca="false">Monthly!I54</f>
        <v>71</v>
      </c>
      <c r="E6" s="35" t="n">
        <f aca="false">Monthly!I66</f>
        <v>282</v>
      </c>
      <c r="F6" s="35" t="n">
        <f aca="false">Monthly!I78</f>
        <v>1146</v>
      </c>
      <c r="G6" s="35" t="n">
        <f aca="false">Monthly!I90</f>
        <v>2853</v>
      </c>
      <c r="H6" s="2"/>
    </row>
    <row r="7" customFormat="false" ht="15" hidden="false" customHeight="false" outlineLevel="0" collapsed="false">
      <c r="A7" s="12" t="s">
        <v>9</v>
      </c>
      <c r="B7" s="2"/>
      <c r="C7" s="35" t="n">
        <f aca="false">Monthly!P42</f>
        <v>28</v>
      </c>
      <c r="D7" s="35" t="n">
        <f aca="false">Monthly!P54</f>
        <v>70.16</v>
      </c>
      <c r="E7" s="35" t="n">
        <f aca="false">Monthly!P66</f>
        <v>279.31</v>
      </c>
      <c r="F7" s="35" t="n">
        <f aca="false">Monthly!P78</f>
        <v>1135.84</v>
      </c>
      <c r="G7" s="35" t="n">
        <f aca="false">Monthly!P90</f>
        <v>2811.99</v>
      </c>
      <c r="H7" s="2"/>
    </row>
    <row r="8" customFormat="false" ht="15" hidden="false" customHeight="false" outlineLevel="0" collapsed="false">
      <c r="A8" s="12" t="s">
        <v>230</v>
      </c>
      <c r="B8" s="2"/>
      <c r="C8" s="35" t="n">
        <f aca="false">AVERAGE(Monthly!P31:P42)</f>
        <v>16</v>
      </c>
      <c r="D8" s="35" t="n">
        <f aca="false">AVERAGE(Monthly!P43:P54)</f>
        <v>40.3533333333333</v>
      </c>
      <c r="E8" s="35" t="n">
        <f aca="false">AVERAGE(Monthly!P55:P66)</f>
        <v>162.205</v>
      </c>
      <c r="F8" s="35" t="n">
        <f aca="false">AVERAGE(Monthly!P67:P78)</f>
        <v>577.360833333333</v>
      </c>
      <c r="G8" s="35" t="n">
        <f aca="false">AVERAGE(Monthly!P79:P90)</f>
        <v>1738.2425</v>
      </c>
      <c r="H8" s="2"/>
    </row>
    <row r="9" customFormat="false" ht="15" hidden="false" customHeight="false" outlineLevel="0" collapsed="false">
      <c r="A9" s="12" t="s">
        <v>231</v>
      </c>
      <c r="B9" s="2"/>
      <c r="C9" s="35" t="n">
        <f aca="false">MAX(0,MIN(SUM(Monthly!D31:D42),$C$10-C6+C5)-C5)</f>
        <v>2972</v>
      </c>
      <c r="D9" s="35" t="n">
        <f aca="false">MAX(0,MIN(SUM(Monthly!D43:D54),$C$10-D6+D5)-D5)</f>
        <v>2957</v>
      </c>
      <c r="E9" s="35" t="n">
        <f aca="false">MAX(0,MIN(SUM(Monthly!D55:D66),$C$10-E6+E5)-E5)</f>
        <v>2789</v>
      </c>
      <c r="F9" s="35" t="n">
        <f aca="false">MAX(0,MIN(SUM(Monthly!D67:D78),$C$10-F6+F5)-F5)</f>
        <v>2136</v>
      </c>
      <c r="G9" s="35" t="n">
        <f aca="false">MAX(0,MIN(SUM(Monthly!D79:D90),$C$10-G6+G5)-G5)</f>
        <v>1293</v>
      </c>
      <c r="H9" s="2" t="s">
        <v>232</v>
      </c>
    </row>
    <row r="10" customFormat="false" ht="15" hidden="false" customHeight="false" outlineLevel="0" collapsed="false">
      <c r="A10" s="12" t="s">
        <v>233</v>
      </c>
      <c r="B10" s="2"/>
      <c r="C10" s="27" t="n">
        <f aca="false">ROUND(MIN(Assumptions!$C$13,Assumptions!$C$13*Assumptions!$C$14*Assumptions!$C$15*Assumptions!$F$7),0)</f>
        <v>8433</v>
      </c>
      <c r="D10" s="2"/>
      <c r="E10" s="2"/>
      <c r="F10" s="2"/>
      <c r="G10" s="2"/>
      <c r="H10" s="2" t="s">
        <v>234</v>
      </c>
    </row>
    <row r="11" customFormat="false" ht="15" hidden="false" customHeight="false" outlineLevel="0" collapsed="false">
      <c r="A11" s="12" t="s">
        <v>235</v>
      </c>
      <c r="B11" s="2"/>
      <c r="C11" s="35" t="n">
        <f aca="false">$C$10-C6</f>
        <v>8405</v>
      </c>
      <c r="D11" s="35" t="n">
        <f aca="false">$C$10-D6</f>
        <v>8362</v>
      </c>
      <c r="E11" s="35" t="n">
        <f aca="false">$C$10-E6</f>
        <v>8151</v>
      </c>
      <c r="F11" s="35" t="n">
        <f aca="false">$C$10-F6</f>
        <v>7287</v>
      </c>
      <c r="G11" s="35" t="n">
        <f aca="false">$C$10-G6</f>
        <v>5580</v>
      </c>
      <c r="H1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4"/>
    <col collapsed="false" customWidth="true" hidden="false" outlineLevel="0" max="7" min="3" style="0" width="13"/>
    <col collapsed="false" customWidth="true" hidden="false" outlineLevel="0" max="8" min="8" style="0" width="60"/>
  </cols>
  <sheetData>
    <row r="1" customFormat="false" ht="17.35" hidden="false" customHeight="false" outlineLevel="0" collapsed="false">
      <c r="A1" s="1" t="s">
        <v>236</v>
      </c>
      <c r="B1" s="2"/>
      <c r="C1" s="2"/>
      <c r="D1" s="2"/>
      <c r="E1" s="2"/>
      <c r="F1" s="2"/>
      <c r="G1" s="2"/>
      <c r="H1" s="2"/>
    </row>
    <row r="2" customFormat="false" ht="15" hidden="false" customHeight="false" outlineLevel="0" collapsed="false">
      <c r="A2" s="3" t="s">
        <v>237</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5" t="s">
        <v>79</v>
      </c>
      <c r="B4" s="6"/>
      <c r="C4" s="7" t="s">
        <v>80</v>
      </c>
      <c r="D4" s="7" t="s">
        <v>81</v>
      </c>
      <c r="E4" s="7" t="s">
        <v>82</v>
      </c>
      <c r="F4" s="7" t="s">
        <v>83</v>
      </c>
      <c r="G4" s="7" t="s">
        <v>84</v>
      </c>
      <c r="H4" s="6"/>
    </row>
    <row r="5" customFormat="false" ht="15" hidden="false" customHeight="false" outlineLevel="0" collapsed="false">
      <c r="A5" s="16" t="s">
        <v>238</v>
      </c>
      <c r="B5" s="17"/>
      <c r="C5" s="17"/>
      <c r="D5" s="17"/>
      <c r="E5" s="17"/>
      <c r="F5" s="17"/>
      <c r="G5" s="17"/>
      <c r="H5" s="17"/>
    </row>
    <row r="6" customFormat="false" ht="15" hidden="false" customHeight="false" outlineLevel="0" collapsed="false">
      <c r="A6" s="12" t="s">
        <v>239</v>
      </c>
      <c r="B6" s="2"/>
      <c r="C6" s="36" t="n">
        <f aca="false">0.5</f>
        <v>0.5</v>
      </c>
      <c r="D6" s="36" t="n">
        <f aca="false">1</f>
        <v>1</v>
      </c>
      <c r="E6" s="36" t="n">
        <f aca="false">1</f>
        <v>1</v>
      </c>
      <c r="F6" s="36" t="n">
        <f aca="false">1</f>
        <v>1</v>
      </c>
      <c r="G6" s="36" t="n">
        <f aca="false">1</f>
        <v>1</v>
      </c>
      <c r="H6" s="18" t="s">
        <v>240</v>
      </c>
    </row>
    <row r="7" customFormat="false" ht="15" hidden="false" customHeight="false" outlineLevel="0" collapsed="false">
      <c r="A7" s="12" t="s">
        <v>89</v>
      </c>
      <c r="B7" s="2"/>
      <c r="C7" s="36" t="n">
        <f aca="false">Assumptions!C$33</f>
        <v>1</v>
      </c>
      <c r="D7" s="36" t="n">
        <f aca="false">Assumptions!D$33</f>
        <v>0.97</v>
      </c>
      <c r="E7" s="36" t="n">
        <f aca="false">Assumptions!E$33</f>
        <v>0.95</v>
      </c>
      <c r="F7" s="36" t="n">
        <f aca="false">Assumptions!F$33</f>
        <v>0.94</v>
      </c>
      <c r="G7" s="36" t="n">
        <f aca="false">Assumptions!G$33</f>
        <v>0.93</v>
      </c>
      <c r="H7" s="2"/>
    </row>
    <row r="8" customFormat="false" ht="15" hidden="false" customHeight="false" outlineLevel="0" collapsed="false">
      <c r="A8" s="12" t="s">
        <v>241</v>
      </c>
      <c r="B8" s="2"/>
      <c r="C8" s="37" t="n">
        <f aca="false">C6*C7</f>
        <v>0.5</v>
      </c>
      <c r="D8" s="37" t="n">
        <f aca="false">D6*D7</f>
        <v>0.97</v>
      </c>
      <c r="E8" s="37" t="n">
        <f aca="false">E6*E7</f>
        <v>0.95</v>
      </c>
      <c r="F8" s="37" t="n">
        <f aca="false">F6*F7</f>
        <v>0.94</v>
      </c>
      <c r="G8" s="37" t="n">
        <f aca="false">G6*G7</f>
        <v>0.93</v>
      </c>
      <c r="H8" s="2"/>
    </row>
    <row r="9" customFormat="false" ht="15" hidden="false" customHeight="false" outlineLevel="0" collapsed="false">
      <c r="A9" s="16" t="s">
        <v>242</v>
      </c>
      <c r="B9" s="17"/>
      <c r="C9" s="17"/>
      <c r="D9" s="17"/>
      <c r="E9" s="17"/>
      <c r="F9" s="17"/>
      <c r="G9" s="17"/>
      <c r="H9" s="17"/>
    </row>
    <row r="10" customFormat="false" ht="15" hidden="false" customHeight="false" outlineLevel="0" collapsed="false">
      <c r="A10" s="12" t="s">
        <v>243</v>
      </c>
      <c r="B10" s="2"/>
      <c r="C10" s="35" t="n">
        <f aca="false">Assumptions!$F$24*Assumptions!C$31*Assumptions!$F$8*C7</f>
        <v>121.38</v>
      </c>
      <c r="D10" s="35" t="n">
        <f aca="false">Assumptions!$F$24*Assumptions!D$31*Assumptions!$F$8*D7</f>
        <v>313.9696</v>
      </c>
      <c r="E10" s="35" t="n">
        <f aca="false">Assumptions!$F$24*Assumptions!E$31*Assumptions!$F$8*E7</f>
        <v>461.244</v>
      </c>
      <c r="F10" s="35" t="n">
        <f aca="false">Assumptions!$F$24*Assumptions!F$31*Assumptions!$F$8*F7</f>
        <v>570.486</v>
      </c>
      <c r="G10" s="35" t="n">
        <f aca="false">Assumptions!$F$24*Assumptions!G$31*Assumptions!$F$8*G7</f>
        <v>639.6726</v>
      </c>
      <c r="H10" s="2"/>
    </row>
    <row r="11" customFormat="false" ht="15" hidden="false" customHeight="false" outlineLevel="0" collapsed="false">
      <c r="A11" s="12" t="s">
        <v>244</v>
      </c>
      <c r="B11" s="2"/>
      <c r="C11" s="35" t="n">
        <f aca="false">C10</f>
        <v>121.38</v>
      </c>
      <c r="D11" s="35" t="n">
        <f aca="false">MAX(0,D10-C10)</f>
        <v>192.5896</v>
      </c>
      <c r="E11" s="35" t="n">
        <f aca="false">MAX(0,E10-D10)</f>
        <v>147.2744</v>
      </c>
      <c r="F11" s="35" t="n">
        <f aca="false">MAX(0,F10-E10)</f>
        <v>109.242</v>
      </c>
      <c r="G11" s="35" t="n">
        <f aca="false">MAX(0,G10-F10)</f>
        <v>69.1866000000001</v>
      </c>
      <c r="H11" s="2"/>
    </row>
    <row r="12" customFormat="false" ht="15" hidden="false" customHeight="false" outlineLevel="0" collapsed="false">
      <c r="A12" s="12" t="s">
        <v>245</v>
      </c>
      <c r="B12" s="2"/>
      <c r="C12" s="35" t="n">
        <f aca="false">Assumptions!$F$24*Assumptions!C$32*Assumptions!$F$8*12*C8</f>
        <v>48552</v>
      </c>
      <c r="D12" s="35" t="n">
        <f aca="false">Assumptions!$F$24*Assumptions!D$32*Assumptions!$F$8*12*D8</f>
        <v>188381.76</v>
      </c>
      <c r="E12" s="35" t="n">
        <f aca="false">Assumptions!$F$24*Assumptions!E$32*Assumptions!$F$8*12*E8</f>
        <v>276746.4</v>
      </c>
      <c r="F12" s="35" t="n">
        <f aca="false">Assumptions!$F$24*Assumptions!F$32*Assumptions!$F$8*12*F8</f>
        <v>319472.16</v>
      </c>
      <c r="G12" s="35" t="n">
        <f aca="false">Assumptions!$F$24*Assumptions!G$32*Assumptions!$F$8*12*G8</f>
        <v>361226.88</v>
      </c>
      <c r="H12" s="2"/>
    </row>
    <row r="13" customFormat="false" ht="15" hidden="false" customHeight="false" outlineLevel="0" collapsed="false">
      <c r="A13" s="16" t="s">
        <v>246</v>
      </c>
      <c r="B13" s="17"/>
      <c r="C13" s="17"/>
      <c r="D13" s="17"/>
      <c r="E13" s="17"/>
      <c r="F13" s="17"/>
      <c r="G13" s="17"/>
      <c r="H13" s="17"/>
    </row>
    <row r="14" customFormat="false" ht="15" hidden="false" customHeight="false" outlineLevel="0" collapsed="false">
      <c r="A14" s="12" t="s">
        <v>247</v>
      </c>
      <c r="B14" s="2"/>
      <c r="C14" s="38" t="n">
        <f aca="false">Assumptions!$C$46*3*MIN(1,Assumptions!C$37*Assumptions!$F$9)*C7</f>
        <v>4.2</v>
      </c>
      <c r="D14" s="38" t="n">
        <f aca="false">Assumptions!$C$46*3*MIN(1,Assumptions!D$37*Assumptions!$F$9)*D7</f>
        <v>12.222</v>
      </c>
      <c r="E14" s="38" t="n">
        <f aca="false">Assumptions!$C$46*3*MIN(1,Assumptions!E$37*Assumptions!$F$9)*E7</f>
        <v>19.95</v>
      </c>
      <c r="F14" s="38" t="n">
        <f aca="false">Assumptions!$C$46*3*MIN(1,Assumptions!F$37*Assumptions!$F$9)*F7</f>
        <v>25.2672</v>
      </c>
      <c r="G14" s="38" t="n">
        <f aca="false">Assumptions!$C$46*3*MIN(1,Assumptions!G$37*Assumptions!$F$9)*G7</f>
        <v>29.6856</v>
      </c>
      <c r="H14" s="2"/>
    </row>
    <row r="15" customFormat="false" ht="15" hidden="false" customHeight="false" outlineLevel="0" collapsed="false">
      <c r="A15" s="12" t="s">
        <v>248</v>
      </c>
      <c r="B15" s="2"/>
      <c r="C15" s="38" t="n">
        <f aca="false">Assumptions!$F$25*Assumptions!C$38*MIN(1,Assumptions!C$39*Assumptions!$F$9)*C7</f>
        <v>0.67712</v>
      </c>
      <c r="D15" s="38" t="n">
        <f aca="false">Assumptions!$F$25*Assumptions!D$38*MIN(1,Assumptions!D$39*Assumptions!$F$9)*D7</f>
        <v>2.463024</v>
      </c>
      <c r="E15" s="38" t="n">
        <f aca="false">Assumptions!$F$25*Assumptions!E$38*MIN(1,Assumptions!E$39*Assumptions!$F$9)*E7</f>
        <v>4.82448</v>
      </c>
      <c r="F15" s="38" t="n">
        <f aca="false">Assumptions!$F$25*Assumptions!F$38*MIN(1,Assumptions!F$39*Assumptions!$F$9)*F7</f>
        <v>6.762736</v>
      </c>
      <c r="G15" s="38" t="n">
        <f aca="false">Assumptions!$F$25*Assumptions!G$38*MIN(1,Assumptions!G$39*Assumptions!$F$9)*G7</f>
        <v>8.5012416</v>
      </c>
      <c r="H15" s="2"/>
    </row>
    <row r="16" customFormat="false" ht="15" hidden="false" customHeight="false" outlineLevel="0" collapsed="false">
      <c r="A16" s="12" t="s">
        <v>249</v>
      </c>
      <c r="B16" s="2"/>
      <c r="C16" s="38" t="n">
        <f aca="false">Assumptions!$C$46*MIN(1,Assumptions!C$42*Assumptions!$F$9)*C7</f>
        <v>0</v>
      </c>
      <c r="D16" s="38" t="n">
        <f aca="false">Assumptions!$C$46*MIN(1,Assumptions!D$42*Assumptions!$F$9)*D7</f>
        <v>0.5432</v>
      </c>
      <c r="E16" s="38" t="n">
        <f aca="false">Assumptions!$C$46*MIN(1,Assumptions!E$42*Assumptions!$F$9)*E7</f>
        <v>1.33</v>
      </c>
      <c r="F16" s="38" t="n">
        <f aca="false">Assumptions!$C$46*MIN(1,Assumptions!F$42*Assumptions!$F$9)*F7</f>
        <v>2.1056</v>
      </c>
      <c r="G16" s="38" t="n">
        <f aca="false">Assumptions!$C$46*MIN(1,Assumptions!G$42*Assumptions!$F$9)*G7</f>
        <v>2.604</v>
      </c>
      <c r="H16" s="2"/>
    </row>
    <row r="17" customFormat="false" ht="15" hidden="false" customHeight="false" outlineLevel="0" collapsed="false">
      <c r="A17" s="12" t="s">
        <v>250</v>
      </c>
      <c r="B17" s="2"/>
      <c r="C17" s="38" t="n">
        <f aca="false">C14+C15+C16</f>
        <v>4.87712</v>
      </c>
      <c r="D17" s="38" t="n">
        <f aca="false">D14+D15+D16</f>
        <v>15.228224</v>
      </c>
      <c r="E17" s="38" t="n">
        <f aca="false">E14+E15+E16</f>
        <v>26.10448</v>
      </c>
      <c r="F17" s="38" t="n">
        <f aca="false">F14+F15+F16</f>
        <v>34.135536</v>
      </c>
      <c r="G17" s="38" t="n">
        <f aca="false">G14+G15+G16</f>
        <v>40.7908416</v>
      </c>
      <c r="H17" s="18" t="s">
        <v>251</v>
      </c>
    </row>
    <row r="18" customFormat="false" ht="15" hidden="false" customHeight="false" outlineLevel="0" collapsed="false">
      <c r="A18" s="16" t="s">
        <v>252</v>
      </c>
      <c r="B18" s="17"/>
      <c r="C18" s="17"/>
      <c r="D18" s="17"/>
      <c r="E18" s="17"/>
      <c r="F18" s="17"/>
      <c r="G18" s="17"/>
      <c r="H18" s="17"/>
    </row>
    <row r="19" customFormat="false" ht="15" hidden="false" customHeight="false" outlineLevel="0" collapsed="false">
      <c r="A19" s="12" t="s">
        <v>253</v>
      </c>
      <c r="B19" s="2"/>
      <c r="C19" s="39" t="n">
        <f aca="false">C14/3*Assumptions!$C$47*12*(1-Assumptions!$C$49)*C6</f>
        <v>293.664</v>
      </c>
      <c r="D19" s="39" t="n">
        <f aca="false">D14/3*Assumptions!$C$47*12*(1-Assumptions!$C$49)*D6</f>
        <v>1709.12448</v>
      </c>
      <c r="E19" s="39" t="n">
        <f aca="false">E14/3*Assumptions!$C$47*12*(1-Assumptions!$C$49)*E6</f>
        <v>2789.808</v>
      </c>
      <c r="F19" s="39" t="n">
        <f aca="false">F14/3*Assumptions!$C$47*12*(1-Assumptions!$C$49)*F6</f>
        <v>3533.365248</v>
      </c>
      <c r="G19" s="39" t="n">
        <f aca="false">G14/3*Assumptions!$C$47*12*(1-Assumptions!$C$49)*G6</f>
        <v>4151.234304</v>
      </c>
      <c r="H19" s="18" t="s">
        <v>254</v>
      </c>
    </row>
    <row r="20" customFormat="false" ht="15" hidden="false" customHeight="false" outlineLevel="0" collapsed="false">
      <c r="A20" s="12" t="s">
        <v>255</v>
      </c>
      <c r="B20" s="2"/>
      <c r="C20" s="39" t="n">
        <f aca="false">C15*Assumptions!$C$50*12*C6</f>
        <v>158.44608</v>
      </c>
      <c r="D20" s="39" t="n">
        <f aca="false">D15*Assumptions!$C$50*12*D6</f>
        <v>1152.695232</v>
      </c>
      <c r="E20" s="39" t="n">
        <f aca="false">E15*Assumptions!$C$50*12*E6</f>
        <v>2257.85664</v>
      </c>
      <c r="F20" s="39" t="n">
        <f aca="false">F15*Assumptions!$C$50*12*F6</f>
        <v>3164.960448</v>
      </c>
      <c r="G20" s="39" t="n">
        <f aca="false">G15*Assumptions!$C$50*12*G6</f>
        <v>3978.5810688</v>
      </c>
      <c r="H20" s="2"/>
    </row>
    <row r="21" customFormat="false" ht="15" hidden="false" customHeight="false" outlineLevel="0" collapsed="false">
      <c r="A21" s="12" t="s">
        <v>256</v>
      </c>
      <c r="B21" s="2"/>
      <c r="C21" s="39" t="n">
        <f aca="false">C16*Assumptions!$C$51*12*C6</f>
        <v>0</v>
      </c>
      <c r="D21" s="39" t="n">
        <f aca="false">D16*Assumptions!$C$51*12*D6</f>
        <v>645.3216</v>
      </c>
      <c r="E21" s="39" t="n">
        <f aca="false">E16*Assumptions!$C$51*12*E6</f>
        <v>1580.04</v>
      </c>
      <c r="F21" s="39" t="n">
        <f aca="false">F16*Assumptions!$C$51*12*F6</f>
        <v>2501.4528</v>
      </c>
      <c r="G21" s="39" t="n">
        <f aca="false">G16*Assumptions!$C$51*12*G6</f>
        <v>3093.552</v>
      </c>
      <c r="H21" s="2"/>
    </row>
    <row r="22" customFormat="false" ht="15" hidden="false" customHeight="false" outlineLevel="0" collapsed="false">
      <c r="A22" s="12" t="s">
        <v>257</v>
      </c>
      <c r="B22" s="2"/>
      <c r="C22" s="39" t="n">
        <f aca="false">C10/1000*Assumptions!$C$53*Assumptions!$C$52*MIN(1,Assumptions!C$40*Assumptions!$F$9)*C6</f>
        <v>54.621</v>
      </c>
      <c r="D22" s="39" t="n">
        <f aca="false">D10/1000*Assumptions!$C$53*Assumptions!$C$52*MIN(1,Assumptions!D$40*Assumptions!$F$9)*D6</f>
        <v>847.71792</v>
      </c>
      <c r="E22" s="39" t="n">
        <f aca="false">E10/1000*Assumptions!$C$53*Assumptions!$C$52*MIN(1,Assumptions!E$40*Assumptions!$F$9)*E6</f>
        <v>1868.0382</v>
      </c>
      <c r="F22" s="39" t="n">
        <f aca="false">F10/1000*Assumptions!$C$53*Assumptions!$C$52*MIN(1,Assumptions!F$40*Assumptions!$F$9)*F6</f>
        <v>2823.9057</v>
      </c>
      <c r="G22" s="39" t="n">
        <f aca="false">G10/1000*Assumptions!$C$53*Assumptions!$C$52*MIN(1,Assumptions!G$40*Assumptions!$F$9)*G6</f>
        <v>3454.23204</v>
      </c>
      <c r="H22" s="18" t="s">
        <v>258</v>
      </c>
    </row>
    <row r="23" customFormat="false" ht="15" hidden="false" customHeight="false" outlineLevel="0" collapsed="false">
      <c r="A23" s="12" t="s">
        <v>259</v>
      </c>
      <c r="B23" s="2"/>
      <c r="C23" s="39" t="n">
        <f aca="false">Assumptions!$F$27*12*MIN(1,Assumptions!C$41*Assumptions!$F$9)*C8</f>
        <v>126</v>
      </c>
      <c r="D23" s="39" t="n">
        <f aca="false">Assumptions!$F$27*12*MIN(1,Assumptions!D$41*Assumptions!$F$9)*D8</f>
        <v>733.32</v>
      </c>
      <c r="E23" s="39" t="n">
        <f aca="false">Assumptions!$F$27*12*MIN(1,Assumptions!E$41*Assumptions!$F$9)*E8</f>
        <v>1197</v>
      </c>
      <c r="F23" s="39" t="n">
        <f aca="false">Assumptions!$F$27*12*MIN(1,Assumptions!F$41*Assumptions!$F$9)*F8</f>
        <v>1421.28</v>
      </c>
      <c r="G23" s="39" t="n">
        <f aca="false">Assumptions!$F$27*12*MIN(1,Assumptions!G$41*Assumptions!$F$9)*G8</f>
        <v>1523.34</v>
      </c>
      <c r="H23" s="2"/>
    </row>
    <row r="24" customFormat="false" ht="15" hidden="false" customHeight="false" outlineLevel="0" collapsed="false">
      <c r="A24" s="12" t="s">
        <v>260</v>
      </c>
      <c r="B24" s="2"/>
      <c r="C24" s="39" t="n">
        <f aca="false">C12/1000*Assumptions!$C$54*Assumptions!$C$55*Assumptions!C$43</f>
        <v>0</v>
      </c>
      <c r="D24" s="39" t="n">
        <f aca="false">D12/1000*Assumptions!$C$54*Assumptions!$C$55*Assumptions!D$43</f>
        <v>0</v>
      </c>
      <c r="E24" s="39" t="n">
        <f aca="false">E12/1000*Assumptions!$C$54*Assumptions!$C$55*Assumptions!E$43</f>
        <v>1328.38272</v>
      </c>
      <c r="F24" s="39" t="n">
        <f aca="false">F12/1000*Assumptions!$C$54*Assumptions!$C$55*Assumptions!F$43</f>
        <v>1533.466368</v>
      </c>
      <c r="G24" s="39" t="n">
        <f aca="false">G12/1000*Assumptions!$C$54*Assumptions!$C$55*Assumptions!G$43</f>
        <v>1733.889024</v>
      </c>
      <c r="H24" s="2"/>
    </row>
    <row r="25" customFormat="false" ht="15" hidden="false" customHeight="false" outlineLevel="0" collapsed="false">
      <c r="A25" s="4" t="s">
        <v>261</v>
      </c>
      <c r="B25" s="2"/>
      <c r="C25" s="40" t="n">
        <f aca="false">SUM(C19:C24)</f>
        <v>632.73108</v>
      </c>
      <c r="D25" s="40" t="n">
        <f aca="false">SUM(D19:D24)</f>
        <v>5088.179232</v>
      </c>
      <c r="E25" s="40" t="n">
        <f aca="false">SUM(E19:E24)</f>
        <v>11021.12556</v>
      </c>
      <c r="F25" s="40" t="n">
        <f aca="false">SUM(F19:F24)</f>
        <v>14978.430564</v>
      </c>
      <c r="G25" s="40" t="n">
        <f aca="false">SUM(G19:G24)</f>
        <v>17934.8284368</v>
      </c>
      <c r="H25" s="2"/>
    </row>
    <row r="26" customFormat="false" ht="15" hidden="false" customHeight="false" outlineLevel="0" collapsed="false">
      <c r="A26" s="12" t="s">
        <v>262</v>
      </c>
      <c r="B26" s="2"/>
      <c r="C26" s="39" t="n">
        <f aca="false">C19+C20</f>
        <v>452.11008</v>
      </c>
      <c r="D26" s="39" t="n">
        <f aca="false">D19+D20</f>
        <v>2861.819712</v>
      </c>
      <c r="E26" s="39" t="n">
        <f aca="false">E19+E20</f>
        <v>5047.66464</v>
      </c>
      <c r="F26" s="39" t="n">
        <f aca="false">F19+F20</f>
        <v>6698.325696</v>
      </c>
      <c r="G26" s="39" t="n">
        <f aca="false">G19+G20</f>
        <v>8129.8153728</v>
      </c>
      <c r="H26" s="2"/>
    </row>
    <row r="27" customFormat="false" ht="15" hidden="false" customHeight="false" outlineLevel="0" collapsed="false">
      <c r="A27" s="12" t="s">
        <v>263</v>
      </c>
      <c r="B27" s="2"/>
      <c r="C27" s="39" t="n">
        <f aca="false">C21+C22+C23</f>
        <v>180.621</v>
      </c>
      <c r="D27" s="39" t="n">
        <f aca="false">D21+D22+D23</f>
        <v>2226.35952</v>
      </c>
      <c r="E27" s="39" t="n">
        <f aca="false">E21+E22+E23</f>
        <v>4645.0782</v>
      </c>
      <c r="F27" s="39" t="n">
        <f aca="false">F21+F22+F23</f>
        <v>6746.6385</v>
      </c>
      <c r="G27" s="39" t="n">
        <f aca="false">G21+G22+G23</f>
        <v>8071.12404</v>
      </c>
      <c r="H27" s="2"/>
    </row>
    <row r="28" customFormat="false" ht="15" hidden="false" customHeight="false" outlineLevel="0" collapsed="false">
      <c r="A28" s="16" t="s">
        <v>264</v>
      </c>
      <c r="B28" s="17"/>
      <c r="C28" s="17"/>
      <c r="D28" s="17"/>
      <c r="E28" s="17"/>
      <c r="F28" s="17"/>
      <c r="G28" s="17"/>
      <c r="H28" s="17"/>
    </row>
    <row r="29" customFormat="false" ht="15" hidden="false" customHeight="false" outlineLevel="0" collapsed="false">
      <c r="A29" s="12" t="s">
        <v>265</v>
      </c>
      <c r="B29" s="2"/>
      <c r="C29" s="39" t="n">
        <f aca="false">MIN(Assumptions!$C$60,Assumptions!$F$26*Assumptions!$C$58+Assumptions!$C$59)*Assumptions!$F$10*365*C8</f>
        <v>190.895</v>
      </c>
      <c r="D29" s="39" t="n">
        <f aca="false">MIN(Assumptions!$C$60,Assumptions!$F$26*Assumptions!$C$58+Assumptions!$C$59)*Assumptions!$F$10*365*D8</f>
        <v>370.3363</v>
      </c>
      <c r="E29" s="39" t="n">
        <f aca="false">MIN(Assumptions!$C$60,Assumptions!$F$26*Assumptions!$C$58+Assumptions!$C$59)*Assumptions!$F$10*365*E8</f>
        <v>362.7005</v>
      </c>
      <c r="F29" s="39" t="n">
        <f aca="false">MIN(Assumptions!$C$60,Assumptions!$F$26*Assumptions!$C$58+Assumptions!$C$59)*Assumptions!$F$10*365*F8</f>
        <v>358.8826</v>
      </c>
      <c r="G29" s="39" t="n">
        <f aca="false">MIN(Assumptions!$C$60,Assumptions!$F$26*Assumptions!$C$58+Assumptions!$C$59)*Assumptions!$F$10*365*G8</f>
        <v>355.0647</v>
      </c>
      <c r="H29" s="18" t="s">
        <v>266</v>
      </c>
    </row>
    <row r="30" customFormat="false" ht="15" hidden="false" customHeight="false" outlineLevel="0" collapsed="false">
      <c r="A30" s="12" t="s">
        <v>267</v>
      </c>
      <c r="B30" s="2"/>
      <c r="C30" s="39" t="n">
        <f aca="false">Assumptions!$C$61*12*Assumptions!$F$10*C8</f>
        <v>150</v>
      </c>
      <c r="D30" s="39" t="n">
        <f aca="false">Assumptions!$C$61*12*Assumptions!$F$10*D8</f>
        <v>291</v>
      </c>
      <c r="E30" s="39" t="n">
        <f aca="false">Assumptions!$C$61*12*Assumptions!$F$10*E8</f>
        <v>285</v>
      </c>
      <c r="F30" s="39" t="n">
        <f aca="false">Assumptions!$C$61*12*Assumptions!$F$10*F8</f>
        <v>282</v>
      </c>
      <c r="G30" s="39" t="n">
        <f aca="false">Assumptions!$C$61*12*Assumptions!$F$10*G8</f>
        <v>279</v>
      </c>
      <c r="H30" s="2"/>
    </row>
    <row r="31" customFormat="false" ht="15" hidden="false" customHeight="false" outlineLevel="0" collapsed="false">
      <c r="A31" s="12" t="s">
        <v>268</v>
      </c>
      <c r="B31" s="2"/>
      <c r="C31" s="39" t="n">
        <f aca="false">C10*Assumptions!$C$52/1000*Assumptions!$C$62*C6</f>
        <v>1.8207</v>
      </c>
      <c r="D31" s="39" t="n">
        <f aca="false">D10*Assumptions!$C$52/1000*Assumptions!$C$62*D6</f>
        <v>9.419088</v>
      </c>
      <c r="E31" s="39" t="n">
        <f aca="false">E10*Assumptions!$C$52/1000*Assumptions!$C$62*E6</f>
        <v>13.83732</v>
      </c>
      <c r="F31" s="39" t="n">
        <f aca="false">F10*Assumptions!$C$52/1000*Assumptions!$C$62*F6</f>
        <v>17.11458</v>
      </c>
      <c r="G31" s="39" t="n">
        <f aca="false">G10*Assumptions!$C$52/1000*Assumptions!$C$62*G6</f>
        <v>19.190178</v>
      </c>
      <c r="H31" s="2"/>
    </row>
    <row r="32" customFormat="false" ht="15" hidden="false" customHeight="false" outlineLevel="0" collapsed="false">
      <c r="A32" s="12" t="s">
        <v>269</v>
      </c>
      <c r="B32" s="2"/>
      <c r="C32" s="39" t="n">
        <f aca="false">C26*Assumptions!$C$63+(C14+C15)*12*Assumptions!$C$64*C6</f>
        <v>21.89000832</v>
      </c>
      <c r="D32" s="39" t="n">
        <f aca="false">D26*Assumptions!$C$63+(D14+D15)*12*Assumptions!$C$64*D6</f>
        <v>135.858858048</v>
      </c>
      <c r="E32" s="39" t="n">
        <f aca="false">E26*Assumptions!$C$63+(E14+E15)*12*Assumptions!$C$64*E6</f>
        <v>235.57040256</v>
      </c>
      <c r="F32" s="39" t="n">
        <f aca="false">F26*Assumptions!$C$63+(F14+F15)*12*Assumptions!$C$64*F6</f>
        <v>309.559214784</v>
      </c>
      <c r="G32" s="39" t="n">
        <f aca="false">G26*Assumptions!$C$63+(G14+G15)*12*Assumptions!$C$64*G6</f>
        <v>373.2372755712</v>
      </c>
      <c r="H32" s="2"/>
    </row>
    <row r="33" customFormat="false" ht="15" hidden="false" customHeight="false" outlineLevel="0" collapsed="false">
      <c r="A33" s="12" t="s">
        <v>270</v>
      </c>
      <c r="B33" s="2"/>
      <c r="C33" s="39" t="n">
        <f aca="false">0</f>
        <v>0</v>
      </c>
      <c r="D33" s="39" t="n">
        <f aca="false">Assumptions!$C$65*D7</f>
        <v>19.4</v>
      </c>
      <c r="E33" s="39" t="n">
        <f aca="false">Assumptions!$C$65*E7</f>
        <v>19</v>
      </c>
      <c r="F33" s="39" t="n">
        <f aca="false">Assumptions!$C$65*F7</f>
        <v>18.8</v>
      </c>
      <c r="G33" s="39" t="n">
        <f aca="false">Assumptions!$C$65*G7</f>
        <v>18.6</v>
      </c>
      <c r="H33" s="18" t="s">
        <v>271</v>
      </c>
    </row>
    <row r="34" customFormat="false" ht="15" hidden="false" customHeight="false" outlineLevel="0" collapsed="false">
      <c r="A34" s="4" t="s">
        <v>272</v>
      </c>
      <c r="B34" s="2"/>
      <c r="C34" s="40" t="n">
        <f aca="false">SUM(C29:C33)</f>
        <v>364.60570832</v>
      </c>
      <c r="D34" s="40" t="n">
        <f aca="false">SUM(D29:D33)</f>
        <v>826.014246048</v>
      </c>
      <c r="E34" s="40" t="n">
        <f aca="false">SUM(E29:E33)</f>
        <v>916.10822256</v>
      </c>
      <c r="F34" s="40" t="n">
        <f aca="false">SUM(F29:F33)</f>
        <v>986.356394784</v>
      </c>
      <c r="G34" s="40" t="n">
        <f aca="false">SUM(G29:G33)</f>
        <v>1045.0921535712</v>
      </c>
      <c r="H34" s="2"/>
    </row>
    <row r="35" customFormat="false" ht="15" hidden="false" customHeight="false" outlineLevel="0" collapsed="false">
      <c r="A35" s="4" t="s">
        <v>273</v>
      </c>
      <c r="B35" s="2"/>
      <c r="C35" s="29" t="n">
        <f aca="false">C25-C34</f>
        <v>268.12537168</v>
      </c>
      <c r="D35" s="29" t="n">
        <f aca="false">D25-D34</f>
        <v>4262.164985952</v>
      </c>
      <c r="E35" s="29" t="n">
        <f aca="false">E25-E34</f>
        <v>10105.01733744</v>
      </c>
      <c r="F35" s="29" t="n">
        <f aca="false">F25-F34</f>
        <v>13992.074169216</v>
      </c>
      <c r="G35" s="29" t="n">
        <f aca="false">G25-G34</f>
        <v>16889.7362832288</v>
      </c>
      <c r="H35" s="2"/>
    </row>
    <row r="36" customFormat="false" ht="15" hidden="false" customHeight="false" outlineLevel="0" collapsed="false">
      <c r="A36" s="12" t="s">
        <v>12</v>
      </c>
      <c r="B36" s="2"/>
      <c r="C36" s="36" t="n">
        <f aca="false">IF(C25=0,0,C35/C25)</f>
        <v>0.423758813428289</v>
      </c>
      <c r="D36" s="36" t="n">
        <f aca="false">IF(D25=0,0,D35/D25)</f>
        <v>0.837660151424477</v>
      </c>
      <c r="E36" s="36" t="n">
        <f aca="false">IF(E25=0,0,E35/E25)</f>
        <v>0.916877072348679</v>
      </c>
      <c r="F36" s="36" t="n">
        <f aca="false">IF(F25=0,0,F35/F25)</f>
        <v>0.934148214623055</v>
      </c>
      <c r="G36" s="36" t="n">
        <f aca="false">IF(G25=0,0,G35/G25)</f>
        <v>0.941728343973071</v>
      </c>
      <c r="H36" s="2"/>
    </row>
    <row r="37" customFormat="false" ht="15" hidden="false" customHeight="false" outlineLevel="0" collapsed="false">
      <c r="A37" s="16" t="s">
        <v>274</v>
      </c>
      <c r="B37" s="17"/>
      <c r="C37" s="17"/>
      <c r="D37" s="17"/>
      <c r="E37" s="17"/>
      <c r="F37" s="17"/>
      <c r="G37" s="17"/>
      <c r="H37" s="17"/>
    </row>
    <row r="38" customFormat="false" ht="15" hidden="false" customHeight="false" outlineLevel="0" collapsed="false">
      <c r="A38" s="12" t="s">
        <v>275</v>
      </c>
      <c r="B38" s="2"/>
      <c r="C38" s="39" t="n">
        <f aca="false">Assumptions!$C$85*(1+Assumptions!$C$73)/Assumptions!$C$76*C8</f>
        <v>43.75</v>
      </c>
      <c r="D38" s="39" t="n">
        <f aca="false">Assumptions!$C$85*(1+Assumptions!$C$73)/Assumptions!$C$76*D8</f>
        <v>84.875</v>
      </c>
      <c r="E38" s="39" t="n">
        <f aca="false">Assumptions!$C$85*(1+Assumptions!$C$73)/Assumptions!$C$76*E8</f>
        <v>83.125</v>
      </c>
      <c r="F38" s="39" t="n">
        <f aca="false">Assumptions!$C$85*(1+Assumptions!$C$73)/Assumptions!$C$76*F8</f>
        <v>82.25</v>
      </c>
      <c r="G38" s="39" t="n">
        <f aca="false">Assumptions!$C$85*(1+Assumptions!$C$73)/Assumptions!$C$76*G8</f>
        <v>81.375</v>
      </c>
      <c r="H38" s="2"/>
    </row>
    <row r="39" customFormat="false" ht="15" hidden="false" customHeight="false" outlineLevel="0" collapsed="false">
      <c r="A39" s="12" t="s">
        <v>276</v>
      </c>
      <c r="B39" s="2"/>
      <c r="C39" s="39" t="n">
        <f aca="false">Assumptions!$C$86*(1+Assumptions!$C$73)/Assumptions!$C$77*C8+C27*Assumptions!$C$75</f>
        <v>40.625</v>
      </c>
      <c r="D39" s="39" t="n">
        <f aca="false">Assumptions!$C$86*(1+Assumptions!$C$73)/Assumptions!$C$77*D8+D27*Assumptions!$C$75</f>
        <v>78.8125</v>
      </c>
      <c r="E39" s="39" t="n">
        <f aca="false">Assumptions!$C$86*(1+Assumptions!$C$73)/Assumptions!$C$77*E8+E27*Assumptions!$C$75</f>
        <v>77.1875</v>
      </c>
      <c r="F39" s="39" t="n">
        <f aca="false">Assumptions!$C$86*(1+Assumptions!$C$73)/Assumptions!$C$77*F8+F27*Assumptions!$C$75</f>
        <v>76.375</v>
      </c>
      <c r="G39" s="39" t="n">
        <f aca="false">Assumptions!$C$86*(1+Assumptions!$C$73)/Assumptions!$C$77*G8+G27*Assumptions!$C$75</f>
        <v>75.5625</v>
      </c>
      <c r="H39" s="2"/>
    </row>
    <row r="40" customFormat="false" ht="15" hidden="false" customHeight="false" outlineLevel="0" collapsed="false">
      <c r="A40" s="12" t="s">
        <v>277</v>
      </c>
      <c r="B40" s="2"/>
      <c r="C40" s="39" t="n">
        <f aca="false">Assumptions!$C$87*(1+Assumptions!$C$73)/Assumptions!$C$78*C8</f>
        <v>286.458333333333</v>
      </c>
      <c r="D40" s="39" t="n">
        <f aca="false">Assumptions!$C$87*(1+Assumptions!$C$73)/Assumptions!$C$78*D8</f>
        <v>555.729166666667</v>
      </c>
      <c r="E40" s="39" t="n">
        <f aca="false">Assumptions!$C$87*(1+Assumptions!$C$73)/Assumptions!$C$78*E8</f>
        <v>544.270833333333</v>
      </c>
      <c r="F40" s="39" t="n">
        <f aca="false">Assumptions!$C$87*(1+Assumptions!$C$73)/Assumptions!$C$78*F8</f>
        <v>538.541666666667</v>
      </c>
      <c r="G40" s="39" t="n">
        <f aca="false">Assumptions!$C$87*(1+Assumptions!$C$73)/Assumptions!$C$78*G8</f>
        <v>532.8125</v>
      </c>
      <c r="H40" s="2"/>
    </row>
    <row r="41" customFormat="false" ht="15" hidden="false" customHeight="false" outlineLevel="0" collapsed="false">
      <c r="A41" s="12" t="s">
        <v>278</v>
      </c>
      <c r="B41" s="2"/>
      <c r="C41" s="39" t="n">
        <f aca="false">C11*Assumptions!$C$70*Assumptions!$C$69</f>
        <v>0</v>
      </c>
      <c r="D41" s="39" t="n">
        <f aca="false">D11*Assumptions!$C$70*Assumptions!$C$69</f>
        <v>0</v>
      </c>
      <c r="E41" s="39" t="n">
        <f aca="false">E11*Assumptions!$C$70*Assumptions!$C$69</f>
        <v>0</v>
      </c>
      <c r="F41" s="39" t="n">
        <f aca="false">F11*Assumptions!$C$70*Assumptions!$C$69</f>
        <v>0</v>
      </c>
      <c r="G41" s="39" t="n">
        <f aca="false">G11*Assumptions!$C$70*Assumptions!$C$69</f>
        <v>0</v>
      </c>
      <c r="H41" s="2"/>
    </row>
    <row r="42" customFormat="false" ht="15" hidden="false" customHeight="false" outlineLevel="0" collapsed="false">
      <c r="A42" s="4" t="s">
        <v>279</v>
      </c>
      <c r="B42" s="2"/>
      <c r="C42" s="40" t="n">
        <f aca="false">C35-SUM(C38:C41)</f>
        <v>-102.707961653333</v>
      </c>
      <c r="D42" s="40" t="n">
        <f aca="false">D35-SUM(D38:D41)</f>
        <v>3542.74831928533</v>
      </c>
      <c r="E42" s="40" t="n">
        <f aca="false">E35-SUM(E38:E41)</f>
        <v>9400.43400410667</v>
      </c>
      <c r="F42" s="40" t="n">
        <f aca="false">F35-SUM(F38:F41)</f>
        <v>13294.9075025493</v>
      </c>
      <c r="G42" s="40" t="n">
        <f aca="false">G35-SUM(G38:G41)</f>
        <v>16199.9862832288</v>
      </c>
      <c r="H42" s="2"/>
    </row>
    <row r="43" customFormat="false" ht="15" hidden="false" customHeight="false" outlineLevel="0" collapsed="false">
      <c r="A43" s="12" t="s">
        <v>280</v>
      </c>
      <c r="B43" s="2"/>
      <c r="C43" s="36" t="n">
        <f aca="false">IF(C25=0,0,C42/C25)</f>
        <v>-0.162324824715949</v>
      </c>
      <c r="D43" s="36" t="n">
        <f aca="false">IF(D25=0,0,D42/D25)</f>
        <v>0.696270346965115</v>
      </c>
      <c r="E43" s="36" t="n">
        <f aca="false">IF(E25=0,0,E42/E25)</f>
        <v>0.852946820443144</v>
      </c>
      <c r="F43" s="36" t="n">
        <f aca="false">IF(F25=0,0,F42/F25)</f>
        <v>0.887603507306237</v>
      </c>
      <c r="G43" s="36" t="n">
        <f aca="false">IF(G25=0,0,G42/G25)</f>
        <v>0.903269654366388</v>
      </c>
      <c r="H43" s="2"/>
    </row>
    <row r="44" customFormat="false" ht="15" hidden="false" customHeight="false" outlineLevel="0" collapsed="false">
      <c r="A44" s="12" t="s">
        <v>281</v>
      </c>
      <c r="B44" s="2"/>
      <c r="C44" s="39" t="n">
        <f aca="false">(Assumptions!$C$66+Assumptions!$C$67+Assumptions!$C$68)*Assumptions!$F$10</f>
        <v>40</v>
      </c>
      <c r="D44" s="39" t="n">
        <f aca="false">0</f>
        <v>0</v>
      </c>
      <c r="E44" s="39" t="n">
        <f aca="false">0</f>
        <v>0</v>
      </c>
      <c r="F44" s="39" t="n">
        <f aca="false">0</f>
        <v>0</v>
      </c>
      <c r="G44" s="39" t="n">
        <f aca="false">0</f>
        <v>0</v>
      </c>
      <c r="H44" s="2"/>
    </row>
    <row r="45" customFormat="false" ht="15" hidden="false" customHeight="false" outlineLevel="0" collapsed="false">
      <c r="A45" s="4" t="s">
        <v>282</v>
      </c>
      <c r="B45" s="2"/>
      <c r="C45" s="29" t="n">
        <f aca="false">C42-C44</f>
        <v>-142.707961653333</v>
      </c>
      <c r="D45" s="29" t="n">
        <f aca="false">C45+D42-D44</f>
        <v>3400.040357632</v>
      </c>
      <c r="E45" s="29" t="n">
        <f aca="false">D45+E42-E44</f>
        <v>12800.4743617387</v>
      </c>
      <c r="F45" s="29" t="n">
        <f aca="false">E45+F42-F44</f>
        <v>26095.381864288</v>
      </c>
      <c r="G45" s="29" t="n">
        <f aca="false">F45+G42-G44</f>
        <v>42295.3681475168</v>
      </c>
      <c r="H45" s="18" t="s">
        <v>283</v>
      </c>
    </row>
    <row r="46" customFormat="false" ht="15" hidden="false" customHeight="false" outlineLevel="0" collapsed="false">
      <c r="A46" s="2"/>
      <c r="B46" s="2"/>
      <c r="C46" s="2"/>
      <c r="D46" s="2"/>
      <c r="E46" s="2"/>
      <c r="F46" s="2"/>
      <c r="G46" s="2"/>
      <c r="H46" s="2"/>
    </row>
    <row r="47" customFormat="false" ht="15" hidden="false" customHeight="false" outlineLevel="0" collapsed="false">
      <c r="A47" s="18" t="s">
        <v>284</v>
      </c>
      <c r="B47" s="2"/>
      <c r="C47" s="2"/>
      <c r="D47" s="2"/>
      <c r="E47" s="2"/>
      <c r="F47" s="2"/>
      <c r="G47" s="2"/>
      <c r="H4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Y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8"/>
    <col collapsed="false" customWidth="true" hidden="false" outlineLevel="0" max="77" min="4" style="0" width="13"/>
  </cols>
  <sheetData>
    <row r="1" customFormat="false" ht="17.35" hidden="false" customHeight="false" outlineLevel="0" collapsed="false">
      <c r="A1" s="1" t="s">
        <v>285</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row>
    <row r="2" customFormat="false" ht="15" hidden="false" customHeight="false" outlineLevel="0" collapsed="false">
      <c r="A2" s="3" t="s">
        <v>286</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row>
    <row r="4" customFormat="false" ht="15" hidden="false" customHeight="false" outlineLevel="0" collapsed="false">
      <c r="A4" s="16" t="s">
        <v>287</v>
      </c>
      <c r="B4" s="17"/>
      <c r="C4" s="17"/>
      <c r="D4" s="17"/>
      <c r="E4" s="17"/>
      <c r="F4" s="17"/>
      <c r="G4" s="17"/>
      <c r="H4" s="17"/>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row>
    <row r="5" customFormat="false" ht="15" hidden="false" customHeight="false" outlineLevel="0" collapsed="false">
      <c r="A5" s="5" t="s">
        <v>79</v>
      </c>
      <c r="B5" s="6"/>
      <c r="C5" s="7" t="s">
        <v>80</v>
      </c>
      <c r="D5" s="7" t="s">
        <v>81</v>
      </c>
      <c r="E5" s="7" t="s">
        <v>82</v>
      </c>
      <c r="F5" s="7" t="s">
        <v>83</v>
      </c>
      <c r="G5" s="7" t="s">
        <v>84</v>
      </c>
      <c r="H5" s="6"/>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s="2"/>
      <c r="BV5" s="2"/>
      <c r="BW5" s="2"/>
      <c r="BX5" s="2"/>
      <c r="BY5" s="2"/>
    </row>
    <row r="6" customFormat="false" ht="15" hidden="false" customHeight="false" outlineLevel="0" collapsed="false">
      <c r="A6" s="2" t="s">
        <v>288</v>
      </c>
      <c r="B6" s="2"/>
      <c r="C6" s="36" t="n">
        <f aca="false">'Unit Economics'!C7</f>
        <v>1</v>
      </c>
      <c r="D6" s="36" t="n">
        <f aca="false">'Unit Economics'!D7</f>
        <v>0.97</v>
      </c>
      <c r="E6" s="36" t="n">
        <f aca="false">'Unit Economics'!E7</f>
        <v>0.95</v>
      </c>
      <c r="F6" s="36" t="n">
        <f aca="false">'Unit Economics'!F7</f>
        <v>0.94</v>
      </c>
      <c r="G6" s="36" t="n">
        <f aca="false">'Unit Economics'!G7</f>
        <v>0.93</v>
      </c>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c r="BT6" s="2"/>
      <c r="BU6" s="2"/>
      <c r="BV6" s="2"/>
      <c r="BW6" s="2"/>
      <c r="BX6" s="2"/>
      <c r="BY6" s="2"/>
    </row>
    <row r="7" customFormat="false" ht="15" hidden="false" customHeight="false" outlineLevel="0" collapsed="false">
      <c r="A7" s="2" t="s">
        <v>253</v>
      </c>
      <c r="B7" s="2"/>
      <c r="C7" s="41" t="n">
        <f aca="false">'Unit Economics'!C19/(12*'Unit Economics'!C6)</f>
        <v>48.944</v>
      </c>
      <c r="D7" s="41" t="n">
        <f aca="false">'Unit Economics'!D19/(12*'Unit Economics'!D6)</f>
        <v>142.42704</v>
      </c>
      <c r="E7" s="41" t="n">
        <f aca="false">'Unit Economics'!E19/(12*'Unit Economics'!E6)</f>
        <v>232.484</v>
      </c>
      <c r="F7" s="41" t="n">
        <f aca="false">'Unit Economics'!F19/(12*'Unit Economics'!F6)</f>
        <v>294.447104</v>
      </c>
      <c r="G7" s="41" t="n">
        <f aca="false">'Unit Economics'!G19/(12*'Unit Economics'!G6)</f>
        <v>345.936192</v>
      </c>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row>
    <row r="8" customFormat="false" ht="15" hidden="false" customHeight="false" outlineLevel="0" collapsed="false">
      <c r="A8" s="2" t="s">
        <v>255</v>
      </c>
      <c r="B8" s="2"/>
      <c r="C8" s="41" t="n">
        <f aca="false">'Unit Economics'!C20/(12*'Unit Economics'!C6)</f>
        <v>26.40768</v>
      </c>
      <c r="D8" s="41" t="n">
        <f aca="false">'Unit Economics'!D20/(12*'Unit Economics'!D6)</f>
        <v>96.057936</v>
      </c>
      <c r="E8" s="41" t="n">
        <f aca="false">'Unit Economics'!E20/(12*'Unit Economics'!E6)</f>
        <v>188.15472</v>
      </c>
      <c r="F8" s="41" t="n">
        <f aca="false">'Unit Economics'!F20/(12*'Unit Economics'!F6)</f>
        <v>263.746704</v>
      </c>
      <c r="G8" s="41" t="n">
        <f aca="false">'Unit Economics'!G20/(12*'Unit Economics'!G6)</f>
        <v>331.5484224</v>
      </c>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row>
    <row r="9" customFormat="false" ht="15" hidden="false" customHeight="false" outlineLevel="0" collapsed="false">
      <c r="A9" s="2" t="s">
        <v>256</v>
      </c>
      <c r="B9" s="2"/>
      <c r="C9" s="41" t="n">
        <f aca="false">'Unit Economics'!C21/(12*'Unit Economics'!C6)</f>
        <v>0</v>
      </c>
      <c r="D9" s="41" t="n">
        <f aca="false">'Unit Economics'!D21/(12*'Unit Economics'!D6)</f>
        <v>53.7768</v>
      </c>
      <c r="E9" s="41" t="n">
        <f aca="false">'Unit Economics'!E21/(12*'Unit Economics'!E6)</f>
        <v>131.67</v>
      </c>
      <c r="F9" s="41" t="n">
        <f aca="false">'Unit Economics'!F21/(12*'Unit Economics'!F6)</f>
        <v>208.4544</v>
      </c>
      <c r="G9" s="41" t="n">
        <f aca="false">'Unit Economics'!G21/(12*'Unit Economics'!G6)</f>
        <v>257.796</v>
      </c>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row>
    <row r="10" customFormat="false" ht="15" hidden="false" customHeight="false" outlineLevel="0" collapsed="false">
      <c r="A10" s="2" t="s">
        <v>257</v>
      </c>
      <c r="B10" s="2"/>
      <c r="C10" s="41" t="n">
        <f aca="false">'Unit Economics'!C22/(12*'Unit Economics'!C6)</f>
        <v>9.1035</v>
      </c>
      <c r="D10" s="41" t="n">
        <f aca="false">'Unit Economics'!D22/(12*'Unit Economics'!D6)</f>
        <v>70.64316</v>
      </c>
      <c r="E10" s="41" t="n">
        <f aca="false">'Unit Economics'!E22/(12*'Unit Economics'!E6)</f>
        <v>155.66985</v>
      </c>
      <c r="F10" s="41" t="n">
        <f aca="false">'Unit Economics'!F22/(12*'Unit Economics'!F6)</f>
        <v>235.325475</v>
      </c>
      <c r="G10" s="41" t="n">
        <f aca="false">'Unit Economics'!G22/(12*'Unit Economics'!G6)</f>
        <v>287.85267</v>
      </c>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s="2"/>
      <c r="BV10" s="2"/>
      <c r="BW10" s="2"/>
      <c r="BX10" s="2"/>
      <c r="BY10" s="2"/>
    </row>
    <row r="11" customFormat="false" ht="15" hidden="false" customHeight="false" outlineLevel="0" collapsed="false">
      <c r="A11" s="2" t="s">
        <v>259</v>
      </c>
      <c r="B11" s="2"/>
      <c r="C11" s="41" t="n">
        <f aca="false">'Unit Economics'!C23/(12*'Unit Economics'!C6)</f>
        <v>21</v>
      </c>
      <c r="D11" s="41" t="n">
        <f aca="false">'Unit Economics'!D23/(12*'Unit Economics'!D6)</f>
        <v>61.11</v>
      </c>
      <c r="E11" s="41" t="n">
        <f aca="false">'Unit Economics'!E23/(12*'Unit Economics'!E6)</f>
        <v>99.75</v>
      </c>
      <c r="F11" s="41" t="n">
        <f aca="false">'Unit Economics'!F23/(12*'Unit Economics'!F6)</f>
        <v>118.44</v>
      </c>
      <c r="G11" s="41" t="n">
        <f aca="false">'Unit Economics'!G23/(12*'Unit Economics'!G6)</f>
        <v>126.945</v>
      </c>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row>
    <row r="12" customFormat="false" ht="15" hidden="false" customHeight="false" outlineLevel="0" collapsed="false">
      <c r="A12" s="2" t="s">
        <v>260</v>
      </c>
      <c r="B12" s="2"/>
      <c r="C12" s="41" t="n">
        <f aca="false">'Unit Economics'!C24/(12*'Unit Economics'!C6)</f>
        <v>0</v>
      </c>
      <c r="D12" s="41" t="n">
        <f aca="false">'Unit Economics'!D24/(12*'Unit Economics'!D6)</f>
        <v>0</v>
      </c>
      <c r="E12" s="41" t="n">
        <f aca="false">'Unit Economics'!E24/(12*'Unit Economics'!E6)</f>
        <v>110.69856</v>
      </c>
      <c r="F12" s="41" t="n">
        <f aca="false">'Unit Economics'!F24/(12*'Unit Economics'!F6)</f>
        <v>127.788864</v>
      </c>
      <c r="G12" s="41" t="n">
        <f aca="false">'Unit Economics'!G24/(12*'Unit Economics'!G6)</f>
        <v>144.490752</v>
      </c>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row>
    <row r="13" customFormat="false" ht="15" hidden="false" customHeight="false" outlineLevel="0" collapsed="false">
      <c r="A13" s="2" t="s">
        <v>289</v>
      </c>
      <c r="B13" s="2"/>
      <c r="C13" s="41" t="n">
        <f aca="false">'Unit Economics'!C25/(12*'Unit Economics'!C6)</f>
        <v>105.45518</v>
      </c>
      <c r="D13" s="41" t="n">
        <f aca="false">'Unit Economics'!D25/(12*'Unit Economics'!D6)</f>
        <v>424.014936</v>
      </c>
      <c r="E13" s="41" t="n">
        <f aca="false">'Unit Economics'!E25/(12*'Unit Economics'!E6)</f>
        <v>918.42713</v>
      </c>
      <c r="F13" s="41" t="n">
        <f aca="false">'Unit Economics'!F25/(12*'Unit Economics'!F6)</f>
        <v>1248.202547</v>
      </c>
      <c r="G13" s="41" t="n">
        <f aca="false">'Unit Economics'!G25/(12*'Unit Economics'!G6)</f>
        <v>1494.5690364</v>
      </c>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row>
    <row r="14" customFormat="false" ht="15" hidden="false" customHeight="false" outlineLevel="0" collapsed="false">
      <c r="A14" s="2" t="s">
        <v>290</v>
      </c>
      <c r="B14" s="2"/>
      <c r="C14" s="41" t="n">
        <f aca="false">'Unit Economics'!C29/(12*'Unit Economics'!C6)</f>
        <v>31.8158333333333</v>
      </c>
      <c r="D14" s="41" t="n">
        <f aca="false">'Unit Economics'!D29/(12*'Unit Economics'!D6)</f>
        <v>30.8613583333333</v>
      </c>
      <c r="E14" s="41" t="n">
        <f aca="false">'Unit Economics'!E29/(12*'Unit Economics'!E6)</f>
        <v>30.2250416666667</v>
      </c>
      <c r="F14" s="41" t="n">
        <f aca="false">'Unit Economics'!F29/(12*'Unit Economics'!F6)</f>
        <v>29.9068833333333</v>
      </c>
      <c r="G14" s="41" t="n">
        <f aca="false">'Unit Economics'!G29/(12*'Unit Economics'!G6)</f>
        <v>29.588725</v>
      </c>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row>
    <row r="15" customFormat="false" ht="15" hidden="false" customHeight="false" outlineLevel="0" collapsed="false">
      <c r="A15" s="2" t="s">
        <v>267</v>
      </c>
      <c r="B15" s="2"/>
      <c r="C15" s="41" t="n">
        <f aca="false">'Unit Economics'!C30/(12*'Unit Economics'!C6)</f>
        <v>25</v>
      </c>
      <c r="D15" s="41" t="n">
        <f aca="false">'Unit Economics'!D30/(12*'Unit Economics'!D6)</f>
        <v>24.25</v>
      </c>
      <c r="E15" s="41" t="n">
        <f aca="false">'Unit Economics'!E30/(12*'Unit Economics'!E6)</f>
        <v>23.75</v>
      </c>
      <c r="F15" s="41" t="n">
        <f aca="false">'Unit Economics'!F30/(12*'Unit Economics'!F6)</f>
        <v>23.5</v>
      </c>
      <c r="G15" s="41" t="n">
        <f aca="false">'Unit Economics'!G30/(12*'Unit Economics'!G6)</f>
        <v>23.25</v>
      </c>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row>
    <row r="16" customFormat="false" ht="15" hidden="false" customHeight="false" outlineLevel="0" collapsed="false">
      <c r="A16" s="2" t="s">
        <v>268</v>
      </c>
      <c r="B16" s="2"/>
      <c r="C16" s="41" t="n">
        <f aca="false">'Unit Economics'!C31/(12*'Unit Economics'!C6)</f>
        <v>0.30345</v>
      </c>
      <c r="D16" s="41" t="n">
        <f aca="false">'Unit Economics'!D31/(12*'Unit Economics'!D6)</f>
        <v>0.784924</v>
      </c>
      <c r="E16" s="41" t="n">
        <f aca="false">'Unit Economics'!E31/(12*'Unit Economics'!E6)</f>
        <v>1.15311</v>
      </c>
      <c r="F16" s="41" t="n">
        <f aca="false">'Unit Economics'!F31/(12*'Unit Economics'!F6)</f>
        <v>1.426215</v>
      </c>
      <c r="G16" s="41" t="n">
        <f aca="false">'Unit Economics'!G31/(12*'Unit Economics'!G6)</f>
        <v>1.5991815</v>
      </c>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row>
    <row r="17" customFormat="false" ht="15" hidden="false" customHeight="false" outlineLevel="0" collapsed="false">
      <c r="A17" s="2" t="s">
        <v>269</v>
      </c>
      <c r="B17" s="2"/>
      <c r="C17" s="41" t="n">
        <f aca="false">'Unit Economics'!C32/(12*'Unit Economics'!C6)</f>
        <v>3.64833472</v>
      </c>
      <c r="D17" s="41" t="n">
        <f aca="false">'Unit Economics'!D32/(12*'Unit Economics'!D6)</f>
        <v>11.321571504</v>
      </c>
      <c r="E17" s="41" t="n">
        <f aca="false">'Unit Economics'!E32/(12*'Unit Economics'!E6)</f>
        <v>19.63086688</v>
      </c>
      <c r="F17" s="41" t="n">
        <f aca="false">'Unit Economics'!F32/(12*'Unit Economics'!F6)</f>
        <v>25.796601232</v>
      </c>
      <c r="G17" s="41" t="n">
        <f aca="false">'Unit Economics'!G32/(12*'Unit Economics'!G6)</f>
        <v>31.1031062976</v>
      </c>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row>
    <row r="18" customFormat="false" ht="15" hidden="false" customHeight="false" outlineLevel="0" collapsed="false">
      <c r="A18" s="2" t="s">
        <v>270</v>
      </c>
      <c r="B18" s="2"/>
      <c r="C18" s="41" t="n">
        <f aca="false">'Unit Economics'!C33/(12*'Unit Economics'!C6)</f>
        <v>0</v>
      </c>
      <c r="D18" s="41" t="n">
        <f aca="false">'Unit Economics'!D33/(12*'Unit Economics'!D6)</f>
        <v>1.61666666666667</v>
      </c>
      <c r="E18" s="41" t="n">
        <f aca="false">'Unit Economics'!E33/(12*'Unit Economics'!E6)</f>
        <v>1.58333333333333</v>
      </c>
      <c r="F18" s="41" t="n">
        <f aca="false">'Unit Economics'!F33/(12*'Unit Economics'!F6)</f>
        <v>1.56666666666667</v>
      </c>
      <c r="G18" s="41" t="n">
        <f aca="false">'Unit Economics'!G33/(12*'Unit Economics'!G6)</f>
        <v>1.55</v>
      </c>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row>
    <row r="19" customFormat="false" ht="15" hidden="false" customHeight="false" outlineLevel="0" collapsed="false">
      <c r="A19" s="2" t="s">
        <v>278</v>
      </c>
      <c r="B19" s="2"/>
      <c r="C19" s="41" t="n">
        <f aca="false">'Unit Economics'!C41/(12*'Unit Economics'!C6)</f>
        <v>0</v>
      </c>
      <c r="D19" s="41" t="n">
        <f aca="false">'Unit Economics'!D41/(12*'Unit Economics'!D6)</f>
        <v>0</v>
      </c>
      <c r="E19" s="41" t="n">
        <f aca="false">'Unit Economics'!E41/(12*'Unit Economics'!E6)</f>
        <v>0</v>
      </c>
      <c r="F19" s="41" t="n">
        <f aca="false">'Unit Economics'!F41/(12*'Unit Economics'!F6)</f>
        <v>0</v>
      </c>
      <c r="G19" s="41" t="n">
        <f aca="false">'Unit Economics'!G41/(12*'Unit Economics'!G6)</f>
        <v>0</v>
      </c>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row>
    <row r="20" customFormat="false" ht="15" hidden="false" customHeight="false" outlineLevel="0" collapsed="false">
      <c r="A20" s="2" t="s">
        <v>10</v>
      </c>
      <c r="B20" s="2"/>
      <c r="C20" s="41" t="n">
        <f aca="false">'Unit Economics'!C10</f>
        <v>121.38</v>
      </c>
      <c r="D20" s="41" t="n">
        <f aca="false">'Unit Economics'!D10</f>
        <v>313.9696</v>
      </c>
      <c r="E20" s="41" t="n">
        <f aca="false">'Unit Economics'!E10</f>
        <v>461.244</v>
      </c>
      <c r="F20" s="41" t="n">
        <f aca="false">'Unit Economics'!F10</f>
        <v>570.486</v>
      </c>
      <c r="G20" s="41" t="n">
        <f aca="false">'Unit Economics'!G10</f>
        <v>639.6726</v>
      </c>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row>
    <row r="21" customFormat="false" ht="15" hidden="false" customHeight="false" outlineLevel="0" collapsed="false">
      <c r="A21" s="2" t="s">
        <v>291</v>
      </c>
      <c r="B21" s="2"/>
      <c r="C21" s="41" t="n">
        <f aca="false">'Unit Economics'!C12/(12*'Unit Economics'!C6)</f>
        <v>8092</v>
      </c>
      <c r="D21" s="41" t="n">
        <f aca="false">'Unit Economics'!D12/(12*'Unit Economics'!D6)</f>
        <v>15698.48</v>
      </c>
      <c r="E21" s="41" t="n">
        <f aca="false">'Unit Economics'!E12/(12*'Unit Economics'!E6)</f>
        <v>23062.2</v>
      </c>
      <c r="F21" s="41" t="n">
        <f aca="false">'Unit Economics'!F12/(12*'Unit Economics'!F6)</f>
        <v>26622.68</v>
      </c>
      <c r="G21" s="41" t="n">
        <f aca="false">'Unit Economics'!G12/(12*'Unit Economics'!G6)</f>
        <v>30102.24</v>
      </c>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row>
    <row r="22" customFormat="false" ht="15" hidden="false" customHeight="false" outlineLevel="0" collapsed="false">
      <c r="A22" s="2" t="s">
        <v>292</v>
      </c>
      <c r="B22" s="2"/>
      <c r="C22" s="41" t="n">
        <f aca="false">'Unit Economics'!C17</f>
        <v>4.87712</v>
      </c>
      <c r="D22" s="41" t="n">
        <f aca="false">'Unit Economics'!D17</f>
        <v>15.228224</v>
      </c>
      <c r="E22" s="41" t="n">
        <f aca="false">'Unit Economics'!E17</f>
        <v>26.10448</v>
      </c>
      <c r="F22" s="41" t="n">
        <f aca="false">'Unit Economics'!F17</f>
        <v>34.135536</v>
      </c>
      <c r="G22" s="41" t="n">
        <f aca="false">'Unit Economics'!G17</f>
        <v>40.7908416</v>
      </c>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row>
    <row r="23" customFormat="false" ht="15" hidden="false" customHeight="false" outlineLevel="0" collapsed="false">
      <c r="A23" s="2" t="s">
        <v>293</v>
      </c>
      <c r="B23" s="2"/>
      <c r="C23" s="42" t="n">
        <v>0</v>
      </c>
      <c r="D23" s="42" t="n">
        <v>0.1818</v>
      </c>
      <c r="E23" s="42" t="n">
        <v>0.3636</v>
      </c>
      <c r="F23" s="42" t="n">
        <v>0.5455</v>
      </c>
      <c r="G23" s="42" t="n">
        <v>0.7273</v>
      </c>
      <c r="H23" s="42" t="n">
        <v>0.9091</v>
      </c>
      <c r="I23" s="42" t="n">
        <v>1.0909</v>
      </c>
      <c r="J23" s="42" t="n">
        <v>1.2727</v>
      </c>
      <c r="K23" s="42" t="n">
        <v>1.4545</v>
      </c>
      <c r="L23" s="42" t="n">
        <v>1.6364</v>
      </c>
      <c r="M23" s="42" t="n">
        <v>1.8182</v>
      </c>
      <c r="N23" s="42" t="n">
        <v>2</v>
      </c>
      <c r="O23" s="18" t="s">
        <v>294</v>
      </c>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row>
    <row r="24" customFormat="false" ht="15" hidden="false" customHeight="false" outlineLevel="0" collapsed="false">
      <c r="A24" s="2" t="s">
        <v>295</v>
      </c>
      <c r="B24" s="2"/>
      <c r="C24" s="43" t="n">
        <f aca="false">'Unit Economics'!C44</f>
        <v>40</v>
      </c>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row>
    <row r="25" customFormat="false" ht="15" hidden="false" customHeight="false" outlineLevel="0" collapsed="false">
      <c r="A25" s="2" t="s">
        <v>296</v>
      </c>
      <c r="B25" s="2"/>
      <c r="C25" s="41" t="n">
        <f aca="false">MAX(0,SUM($C$14:$C$15)+$C$18+Assumptions!$C$101/12+C23*(SUM($C$16:$C$17)+$C$19-$C$13))</f>
        <v>65.1491666666667</v>
      </c>
      <c r="D25" s="41" t="n">
        <f aca="false">MAX(0,SUM($C$14:$C$15)+$C$18+Assumptions!$C$101/12+D23*(SUM($C$16:$C$17)+$C$19-$C$13)+(D23-C23)*$C$13*12*Assumptions!$C$108)</f>
        <v>53.5976800254027</v>
      </c>
      <c r="E25" s="41" t="n">
        <f aca="false">MAX(0,SUM($C$14:$C$15)+$C$18+Assumptions!$C$101/12+E23*(SUM($C$16:$C$17)+$C$19-$C$13)+(E23-D23)*$C$13*12*Assumptions!$C$108)</f>
        <v>35.1443627634987</v>
      </c>
      <c r="F25" s="41" t="n">
        <f aca="false">MAX(0,SUM($C$14:$C$15)+$C$18+Assumptions!$C$101/12+F23*(SUM($C$16:$C$17)+$C$19-$C$13)+(F23-E23)*$C$13*12*Assumptions!$C$108)</f>
        <v>16.6846915485467</v>
      </c>
      <c r="G25" s="41" t="n">
        <f aca="false">MAX(0,SUM($C$14:$C$15)+$C$18+Assumptions!$C$101/12+G23*(SUM($C$16:$C$17)+$C$19-$C$13)+(G23-F23)*$C$13*12*Assumptions!$C$108)</f>
        <v>0</v>
      </c>
      <c r="H25" s="41" t="n">
        <f aca="false">MAX(0,SUM($C$14:$C$15)+$C$18+Assumptions!$C$101/12+H23*(SUM($C$16:$C$17)+$C$19-$C$13)+(H23-G23)*$C$13*12*Assumptions!$C$108)</f>
        <v>0</v>
      </c>
      <c r="I25" s="41" t="n">
        <f aca="false">MAX(0,SUM($C$14:$C$15)+$C$18+Assumptions!$C$101/12+I23*(SUM($C$16:$C$17)+$C$19-$C$13)+(I23-H23)*$C$13*12*Assumptions!$C$108)</f>
        <v>0</v>
      </c>
      <c r="J25" s="41" t="n">
        <f aca="false">MAX(0,SUM($C$14:$C$15)+$C$18+Assumptions!$C$101/12+J23*(SUM($C$16:$C$17)+$C$19-$C$13)+(J23-I23)*$C$13*12*Assumptions!$C$108)</f>
        <v>0</v>
      </c>
      <c r="K25" s="41" t="n">
        <f aca="false">MAX(0,SUM($C$14:$C$15)+$C$18+Assumptions!$C$101/12+K23*(SUM($C$16:$C$17)+$C$19-$C$13)+(K23-J23)*$C$13*12*Assumptions!$C$108)</f>
        <v>0</v>
      </c>
      <c r="L25" s="41" t="n">
        <f aca="false">MAX(0,SUM($C$14:$C$15)+$C$18+Assumptions!$C$101/12+L23*(SUM($C$16:$C$17)+$C$19-$C$13)+(L23-K23)*$C$13*12*Assumptions!$C$108)</f>
        <v>0</v>
      </c>
      <c r="M25" s="41" t="n">
        <f aca="false">MAX(0,SUM($C$14:$C$15)+$C$18+Assumptions!$C$101/12+M23*(SUM($C$16:$C$17)+$C$19-$C$13)+(M23-L23)*$C$13*12*Assumptions!$C$108)</f>
        <v>0</v>
      </c>
      <c r="N25" s="41" t="n">
        <f aca="false">MAX(0,SUM($C$14:$C$15)+$C$18+Assumptions!$C$101/12+N23*(SUM($C$16:$C$17)+$C$19-$C$13)+(N23-M23)*$C$13*12*Assumptions!$C$108)</f>
        <v>0</v>
      </c>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row>
    <row r="26" customFormat="false" ht="15" hidden="false" customHeight="false" outlineLevel="0" collapsed="false">
      <c r="A26" s="2" t="s">
        <v>297</v>
      </c>
      <c r="B26" s="2"/>
      <c r="C26" s="41" t="n">
        <f aca="false">SUM(D25:N25)</f>
        <v>105.426734337448</v>
      </c>
      <c r="D26" s="41" t="n">
        <f aca="false">SUM(E25:N25)</f>
        <v>51.8290543120453</v>
      </c>
      <c r="E26" s="41" t="n">
        <f aca="false">SUM(F25:N25)</f>
        <v>16.6846915485467</v>
      </c>
      <c r="F26" s="41" t="n">
        <f aca="false">SUM(G25:N25)</f>
        <v>0</v>
      </c>
      <c r="G26" s="41" t="n">
        <f aca="false">SUM(H25:N25)</f>
        <v>0</v>
      </c>
      <c r="H26" s="41" t="n">
        <f aca="false">SUM(I25:N25)</f>
        <v>0</v>
      </c>
      <c r="I26" s="41" t="n">
        <f aca="false">SUM(J25:N25)</f>
        <v>0</v>
      </c>
      <c r="J26" s="41" t="n">
        <f aca="false">SUM(K25:N25)</f>
        <v>0</v>
      </c>
      <c r="K26" s="41" t="n">
        <f aca="false">SUM(L25:N25)</f>
        <v>0</v>
      </c>
      <c r="L26" s="41" t="n">
        <f aca="false">SUM(M25:N25)</f>
        <v>0</v>
      </c>
      <c r="M26" s="41" t="n">
        <f aca="false">SUM(N25:N25)</f>
        <v>0</v>
      </c>
      <c r="N26" s="41" t="n">
        <f aca="false">0</f>
        <v>0</v>
      </c>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row>
    <row r="27" customFormat="false" ht="15" hidden="false" customHeight="false" outlineLevel="0" collapsed="false">
      <c r="A27" s="2" t="s">
        <v>298</v>
      </c>
      <c r="B27" s="2"/>
      <c r="C27" s="43" t="n">
        <f aca="false">C24+SUM(C25:N25)</f>
        <v>210.575901004115</v>
      </c>
      <c r="D27" s="18" t="s">
        <v>299</v>
      </c>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row>
    <row r="28" customFormat="false" ht="15" hidden="false" customHeight="false" outlineLevel="0" collapsed="false">
      <c r="A28" s="2" t="s">
        <v>300</v>
      </c>
      <c r="B28" s="2"/>
      <c r="C28" s="43" t="n">
        <f aca="false">Assumptions!$C$100+Assumptions!C$98/12</f>
        <v>225</v>
      </c>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row>
    <row r="29" customFormat="false" ht="15" hidden="false" customHeight="fals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row>
    <row r="30" customFormat="false" ht="35.05" hidden="false" customHeight="false" outlineLevel="0" collapsed="false">
      <c r="A30" s="44" t="s">
        <v>301</v>
      </c>
      <c r="B30" s="44" t="s">
        <v>58</v>
      </c>
      <c r="C30" s="44" t="s">
        <v>302</v>
      </c>
      <c r="D30" s="44" t="s">
        <v>303</v>
      </c>
      <c r="E30" s="44" t="s">
        <v>304</v>
      </c>
      <c r="F30" s="44" t="s">
        <v>305</v>
      </c>
      <c r="G30" s="44" t="s">
        <v>306</v>
      </c>
      <c r="H30" s="44" t="s">
        <v>307</v>
      </c>
      <c r="I30" s="44" t="s">
        <v>308</v>
      </c>
      <c r="J30" s="44" t="s">
        <v>309</v>
      </c>
      <c r="K30" s="44" t="s">
        <v>310</v>
      </c>
      <c r="L30" s="44" t="s">
        <v>311</v>
      </c>
      <c r="M30" s="44" t="s">
        <v>312</v>
      </c>
      <c r="N30" s="44" t="s">
        <v>313</v>
      </c>
      <c r="O30" s="44" t="s">
        <v>314</v>
      </c>
      <c r="P30" s="44" t="s">
        <v>315</v>
      </c>
      <c r="Q30" s="44" t="s">
        <v>316</v>
      </c>
      <c r="R30" s="44" t="s">
        <v>317</v>
      </c>
      <c r="S30" s="44" t="s">
        <v>318</v>
      </c>
      <c r="T30" s="44" t="s">
        <v>319</v>
      </c>
      <c r="U30" s="44" t="s">
        <v>320</v>
      </c>
      <c r="V30" s="44" t="s">
        <v>321</v>
      </c>
      <c r="W30" s="44" t="s">
        <v>322</v>
      </c>
      <c r="X30" s="44" t="s">
        <v>290</v>
      </c>
      <c r="Y30" s="44" t="s">
        <v>323</v>
      </c>
      <c r="Z30" s="44" t="s">
        <v>324</v>
      </c>
      <c r="AA30" s="44" t="s">
        <v>325</v>
      </c>
      <c r="AB30" s="44" t="s">
        <v>326</v>
      </c>
      <c r="AC30" s="44" t="s">
        <v>327</v>
      </c>
      <c r="AD30" s="44" t="s">
        <v>328</v>
      </c>
      <c r="AE30" s="44" t="s">
        <v>329</v>
      </c>
      <c r="AF30" s="44" t="s">
        <v>291</v>
      </c>
      <c r="AG30" s="44" t="s">
        <v>330</v>
      </c>
      <c r="AH30" s="44" t="s">
        <v>331</v>
      </c>
      <c r="AI30" s="44" t="s">
        <v>332</v>
      </c>
      <c r="AJ30" s="44" t="s">
        <v>333</v>
      </c>
      <c r="AK30" s="44" t="s">
        <v>334</v>
      </c>
      <c r="AL30" s="44" t="s">
        <v>335</v>
      </c>
      <c r="AM30" s="44" t="s">
        <v>336</v>
      </c>
      <c r="AN30" s="44" t="s">
        <v>337</v>
      </c>
      <c r="AO30" s="44" t="s">
        <v>338</v>
      </c>
      <c r="AP30" s="44" t="s">
        <v>339</v>
      </c>
      <c r="AQ30" s="44" t="s">
        <v>340</v>
      </c>
      <c r="AR30" s="44" t="s">
        <v>341</v>
      </c>
      <c r="AS30" s="44" t="s">
        <v>342</v>
      </c>
      <c r="AT30" s="44" t="s">
        <v>343</v>
      </c>
      <c r="AU30" s="44" t="s">
        <v>344</v>
      </c>
      <c r="AV30" s="44" t="s">
        <v>345</v>
      </c>
      <c r="AW30" s="44" t="s">
        <v>346</v>
      </c>
      <c r="AX30" s="44" t="s">
        <v>347</v>
      </c>
      <c r="AY30" s="44" t="s">
        <v>348</v>
      </c>
      <c r="AZ30" s="44" t="s">
        <v>349</v>
      </c>
      <c r="BA30" s="44" t="s">
        <v>350</v>
      </c>
      <c r="BB30" s="44" t="s">
        <v>351</v>
      </c>
      <c r="BC30" s="44" t="s">
        <v>352</v>
      </c>
      <c r="BD30" s="44" t="s">
        <v>353</v>
      </c>
      <c r="BE30" s="44" t="s">
        <v>354</v>
      </c>
      <c r="BF30" s="44" t="s">
        <v>355</v>
      </c>
      <c r="BG30" s="44" t="s">
        <v>356</v>
      </c>
      <c r="BH30" s="44" t="s">
        <v>357</v>
      </c>
      <c r="BI30" s="44" t="s">
        <v>358</v>
      </c>
      <c r="BJ30" s="44" t="s">
        <v>359</v>
      </c>
      <c r="BK30" s="44" t="s">
        <v>360</v>
      </c>
      <c r="BL30" s="44" t="s">
        <v>361</v>
      </c>
      <c r="BM30" s="44" t="s">
        <v>362</v>
      </c>
      <c r="BN30" s="44" t="s">
        <v>363</v>
      </c>
      <c r="BO30" s="44" t="s">
        <v>364</v>
      </c>
      <c r="BP30" s="44" t="s">
        <v>365</v>
      </c>
      <c r="BQ30" s="44" t="s">
        <v>366</v>
      </c>
      <c r="BR30" s="44" t="s">
        <v>367</v>
      </c>
      <c r="BS30" s="44" t="s">
        <v>368</v>
      </c>
      <c r="BT30" s="44" t="s">
        <v>369</v>
      </c>
      <c r="BU30" s="44" t="s">
        <v>370</v>
      </c>
      <c r="BV30" s="44" t="s">
        <v>371</v>
      </c>
      <c r="BW30" s="44" t="s">
        <v>223</v>
      </c>
      <c r="BX30" s="44" t="s">
        <v>372</v>
      </c>
      <c r="BY30" s="44" t="s">
        <v>373</v>
      </c>
    </row>
    <row r="31" customFormat="false" ht="15" hidden="false" customHeight="false" outlineLevel="0" collapsed="false">
      <c r="A31" s="45" t="n">
        <v>1</v>
      </c>
      <c r="B31" s="45" t="n">
        <v>2027</v>
      </c>
      <c r="C31" s="45" t="n">
        <v>0</v>
      </c>
      <c r="D31" s="35" t="n">
        <f aca="false">ROUND(Assumptions!C$18*Assumptions!$F$7/12,0)</f>
        <v>250</v>
      </c>
      <c r="E31" s="35" t="n">
        <f aca="false">Rollout!$C$10</f>
        <v>8433</v>
      </c>
      <c r="F31" s="39" t="n">
        <f aca="false">H31*$C$26</f>
        <v>1475.97428072427</v>
      </c>
      <c r="G31" s="39" t="n">
        <f aca="false">Assumptions!$C$109-Assumptions!$C$110-Assumptions!$C$111*(Assumptions!$C$100+Assumptions!C$98/12+0)</f>
        <v>3100</v>
      </c>
      <c r="H31" s="35" t="n">
        <f aca="false">MAX(0,MIN(D31,E31,INT(G31/$C$27)))</f>
        <v>14</v>
      </c>
      <c r="I31" s="35" t="n">
        <f aca="false">H31</f>
        <v>14</v>
      </c>
      <c r="J31" s="35" t="n">
        <f aca="false">SUM(H31:H31)</f>
        <v>14</v>
      </c>
      <c r="K31" s="35" t="n">
        <f aca="false">H31*$C$23</f>
        <v>0</v>
      </c>
      <c r="L31" s="35" t="n">
        <f aca="false">0</f>
        <v>0</v>
      </c>
      <c r="M31" s="35" t="n">
        <f aca="false">0</f>
        <v>0</v>
      </c>
      <c r="N31" s="35" t="n">
        <f aca="false">0</f>
        <v>0</v>
      </c>
      <c r="O31" s="35" t="n">
        <f aca="false">0</f>
        <v>0</v>
      </c>
      <c r="P31" s="35" t="n">
        <f aca="false">J31*$C$6+L31*$D$6+M31*$E$6+N31*$F$6+O31*$G$6</f>
        <v>14</v>
      </c>
      <c r="Q31" s="39" t="n">
        <f aca="false">K31*$C$7+L31*$D$7+M31*$E$7+N31*$F$7+O31*$G$7</f>
        <v>0</v>
      </c>
      <c r="R31" s="39" t="n">
        <f aca="false">K31*$C$8+L31*$D$8+M31*$E$8+N31*$F$8+O31*$G$8</f>
        <v>0</v>
      </c>
      <c r="S31" s="39" t="n">
        <f aca="false">K31*$C$9+L31*$D$9+M31*$E$9+N31*$F$9+O31*$G$9</f>
        <v>0</v>
      </c>
      <c r="T31" s="39" t="n">
        <f aca="false">K31*$C$10+L31*$D$10+M31*$E$10+N31*$F$10+O31*$G$10</f>
        <v>0</v>
      </c>
      <c r="U31" s="39" t="n">
        <f aca="false">K31*$C$11+L31*$D$11+M31*$E$11+N31*$F$11+O31*$G$11</f>
        <v>0</v>
      </c>
      <c r="V31" s="39" t="n">
        <f aca="false">K31*$C$12+L31*$D$12+M31*$E$12+N31*$F$12+O31*$G$12</f>
        <v>0</v>
      </c>
      <c r="W31" s="39" t="n">
        <f aca="false">SUM(Q31:V31)</f>
        <v>0</v>
      </c>
      <c r="X31" s="39" t="n">
        <f aca="false">J31*$C$14+L31*$D$14+M31*$E$14+N31*$F$14+O31*$G$14</f>
        <v>445.421666666667</v>
      </c>
      <c r="Y31" s="39" t="n">
        <f aca="false">J31*$C$15+L31*$D$15+M31*$E$15+N31*$F$15+O31*$G$15</f>
        <v>350</v>
      </c>
      <c r="Z31" s="39" t="n">
        <f aca="false">K31*$C$16+L31*$D$16+M31*$E$16+N31*$F$16+O31*$G$16</f>
        <v>0</v>
      </c>
      <c r="AA31" s="39" t="n">
        <f aca="false">K31*$C$17+L31*$D$17+M31*$E$17+N31*$F$17+O31*$G$17</f>
        <v>0</v>
      </c>
      <c r="AB31" s="39" t="n">
        <f aca="false">J31*$C$18+L31*$D$18+M31*$E$18+N31*$F$18+O31*$G$18</f>
        <v>0</v>
      </c>
      <c r="AC31" s="39" t="n">
        <f aca="false">H31*Assumptions!$C$67*Assumptions!$F$10</f>
        <v>210</v>
      </c>
      <c r="AD31" s="39" t="n">
        <f aca="false">SUM(X31:AC31)</f>
        <v>1005.42166666667</v>
      </c>
      <c r="AE31" s="35" t="n">
        <f aca="false">K31*$C$20+L31*$D$20+M31*$E$20+N31*$F$20+O31*$G$20</f>
        <v>0</v>
      </c>
      <c r="AF31" s="35" t="n">
        <f aca="false">K31*$C$21+L31*$D$21+M31*$E$21+N31*$F$21+O31*$G$21</f>
        <v>0</v>
      </c>
      <c r="AG31" s="35" t="n">
        <f aca="false">K31*$C$22+L31*$D$22+M31*$E$22+N31*$F$22+O31*$G$22</f>
        <v>0</v>
      </c>
      <c r="AH31" s="37" t="n">
        <f aca="false">P31/Assumptions!$C$76</f>
        <v>0.014</v>
      </c>
      <c r="AI31" s="37" t="n">
        <f aca="false">P31/Assumptions!$C$77</f>
        <v>0.014</v>
      </c>
      <c r="AJ31" s="37" t="n">
        <f aca="false">P31/Assumptions!$C$78</f>
        <v>0.116666666666667</v>
      </c>
      <c r="AK31" s="37" t="n">
        <f aca="false">H31/(Assumptions!$C$19/12)</f>
        <v>0.42</v>
      </c>
      <c r="AL31" s="37" t="n">
        <f aca="false">Assumptions!C$92</f>
        <v>0</v>
      </c>
      <c r="AM31" s="37" t="n">
        <f aca="false">Assumptions!C$93</f>
        <v>0</v>
      </c>
      <c r="AN31" s="37" t="n">
        <f aca="false">Assumptions!C$94</f>
        <v>0</v>
      </c>
      <c r="AO31" s="37" t="n">
        <f aca="false">SUM(AH31:AN31)</f>
        <v>0.564666666666667</v>
      </c>
      <c r="AP31" s="39" t="n">
        <f aca="false">AH31*Assumptions!$C$85*(1+Assumptions!$C$73)*(1+Assumptions!$C$74)^0/12</f>
        <v>102.083333333333</v>
      </c>
      <c r="AQ31" s="39" t="n">
        <f aca="false">AI31*Assumptions!$C$86*(1+Assumptions!$C$73)*(1+Assumptions!$C$74)^0/12</f>
        <v>94.7916666666667</v>
      </c>
      <c r="AR31" s="39" t="n">
        <f aca="false">AJ31*Assumptions!$C$87*(1+Assumptions!$C$73)*(1+Assumptions!$C$74)^0/12</f>
        <v>668.402777777778</v>
      </c>
      <c r="AS31" s="39" t="n">
        <f aca="false">AK31*Assumptions!$C$85*(1+Assumptions!$C$73)*(1+Assumptions!$C$74)^0/12</f>
        <v>3062.5</v>
      </c>
      <c r="AT31" s="39" t="n">
        <f aca="false">AL31*Assumptions!$C$83*(1+Assumptions!$C$73)*(1+Assumptions!$C$74)^0/12</f>
        <v>0</v>
      </c>
      <c r="AU31" s="39" t="n">
        <f aca="false">AM31*Assumptions!$C$84*(1+Assumptions!$C$73)*(1+Assumptions!$C$74)^0/12</f>
        <v>0</v>
      </c>
      <c r="AV31" s="39" t="n">
        <f aca="false">AN31*Assumptions!$C$88*(1+Assumptions!$C$73)*(1+Assumptions!$C$74)^0/12</f>
        <v>0</v>
      </c>
      <c r="AW31" s="39" t="n">
        <f aca="false">SUM(AP31:AV31)</f>
        <v>3927.77777777778</v>
      </c>
      <c r="AX31" s="39" t="n">
        <f aca="false">0</f>
        <v>0</v>
      </c>
      <c r="AY31" s="39" t="n">
        <f aca="false">IF(SUM(AH31:AK31)&lt;=0,0,MIN(AX31,SUM(AP31:AS31)*MAX(0,1-Assumptions!$C$79/SUM(AH31:AK31))))</f>
        <v>0</v>
      </c>
      <c r="AZ31" s="36" t="n">
        <f aca="false">IF(SUM(AP31:AS31)=0,0,AY31/SUM(AP31:AS31))</f>
        <v>0</v>
      </c>
      <c r="BA31" s="39" t="n">
        <f aca="false">MIN(AX31-AY31,SUM(AT31:AV31))</f>
        <v>0</v>
      </c>
      <c r="BB31" s="36" t="n">
        <f aca="false">IF(SUM(AT31:AV31)=0,0,BA31/SUM(AT31:AV31))</f>
        <v>0</v>
      </c>
      <c r="BC31" s="39" t="n">
        <f aca="false">AY31+BA31</f>
        <v>0</v>
      </c>
      <c r="BD31" s="37" t="n">
        <f aca="false">SUM(AH31:AK31)*AZ31+SUM(AL31:AN31)*BB31</f>
        <v>0</v>
      </c>
      <c r="BE31" s="37" t="n">
        <f aca="false">MAX(0,SUM(AH31:AK31)*(1-AZ31)-Assumptions!$C$79)</f>
        <v>0</v>
      </c>
      <c r="BF31" s="39" t="n">
        <f aca="false">AP31*AZ31</f>
        <v>0</v>
      </c>
      <c r="BG31" s="39" t="n">
        <f aca="false">AQ31*AZ31</f>
        <v>0</v>
      </c>
      <c r="BH31" s="39" t="n">
        <f aca="false">AR31*AZ31</f>
        <v>0</v>
      </c>
      <c r="BI31" s="39" t="n">
        <f aca="false">AS31*AZ31</f>
        <v>0</v>
      </c>
      <c r="BJ31" s="39" t="n">
        <f aca="false">AT31*BB31</f>
        <v>0</v>
      </c>
      <c r="BK31" s="39" t="n">
        <f aca="false">AU31*BB31</f>
        <v>0</v>
      </c>
      <c r="BL31" s="39" t="n">
        <f aca="false">AV31*BB31</f>
        <v>0</v>
      </c>
      <c r="BM31" s="39" t="n">
        <f aca="false">H31*(Assumptions!$C$68+Assumptions!$C$66)*Assumptions!$F$10</f>
        <v>350</v>
      </c>
      <c r="BN31" s="39" t="n">
        <f aca="false">K31*$C$19+L31*$D$19+M31*$E$19+N31*$F$19+O31*$G$19</f>
        <v>0</v>
      </c>
      <c r="BO31" s="39" t="n">
        <f aca="false">Assumptions!$C$99*W31</f>
        <v>0</v>
      </c>
      <c r="BP31" s="39" t="n">
        <f aca="false">Assumptions!C$98/12+P31*Assumptions!$C$101/12</f>
        <v>241.666666666667</v>
      </c>
      <c r="BQ31" s="39" t="n">
        <f aca="false">BD31*Assumptions!$C$102/12+Assumptions!$C$100</f>
        <v>100</v>
      </c>
      <c r="BR31" s="39" t="n">
        <f aca="false">SUM(BF31:BQ31)</f>
        <v>691.666666666667</v>
      </c>
      <c r="BS31" s="39" t="n">
        <f aca="false">W31-AD31-BR31</f>
        <v>-1697.08833333333</v>
      </c>
      <c r="BT31" s="39" t="n">
        <f aca="false">BD31*Assumptions!$C$103</f>
        <v>0</v>
      </c>
      <c r="BU31" s="39" t="n">
        <f aca="false">0</f>
        <v>0</v>
      </c>
      <c r="BV31" s="39" t="n">
        <f aca="false">-W31*12*Assumptions!$C$108</f>
        <v>-0</v>
      </c>
      <c r="BW31" s="39" t="n">
        <f aca="false">Assumptions!C$114</f>
        <v>0</v>
      </c>
      <c r="BX31" s="39" t="n">
        <f aca="false">BS31-BT31+BU31+BV31+BW31</f>
        <v>-1697.08833333333</v>
      </c>
      <c r="BY31" s="29" t="n">
        <f aca="false">Assumptions!$C$109+BX31</f>
        <v>3302.91166666667</v>
      </c>
    </row>
    <row r="32" customFormat="false" ht="15" hidden="false" customHeight="false" outlineLevel="0" collapsed="false">
      <c r="A32" s="45" t="n">
        <v>2</v>
      </c>
      <c r="B32" s="45" t="n">
        <v>2027</v>
      </c>
      <c r="C32" s="45" t="n">
        <v>0</v>
      </c>
      <c r="D32" s="35" t="n">
        <f aca="false">ROUND(Assumptions!C$18*Assumptions!$F$7/12,0)</f>
        <v>250</v>
      </c>
      <c r="E32" s="35" t="n">
        <f aca="false">Rollout!$C$10-I31</f>
        <v>8419</v>
      </c>
      <c r="F32" s="39" t="n">
        <f aca="false">H32*$C$26+H31*$D$26</f>
        <v>725.606760368635</v>
      </c>
      <c r="G32" s="39" t="n">
        <f aca="false">BY31-Assumptions!$C$110-F31-Assumptions!$C$111*(Assumptions!$C$100+Assumptions!C$98/12+BC31)</f>
        <v>-73.0626140576051</v>
      </c>
      <c r="H32" s="35" t="n">
        <f aca="false">IF(BE31&gt;0,0,MAX(0,MIN(D32,E32,INT(G32/$C$27))))</f>
        <v>0</v>
      </c>
      <c r="I32" s="35" t="n">
        <f aca="false">I31+H32</f>
        <v>14</v>
      </c>
      <c r="J32" s="35" t="n">
        <f aca="false">SUM(H31:H32)</f>
        <v>14</v>
      </c>
      <c r="K32" s="35" t="n">
        <f aca="false">H32*$C$23+H31*$D$23</f>
        <v>2.5452</v>
      </c>
      <c r="L32" s="35" t="n">
        <f aca="false">0</f>
        <v>0</v>
      </c>
      <c r="M32" s="35" t="n">
        <f aca="false">0</f>
        <v>0</v>
      </c>
      <c r="N32" s="35" t="n">
        <f aca="false">0</f>
        <v>0</v>
      </c>
      <c r="O32" s="35" t="n">
        <f aca="false">0</f>
        <v>0</v>
      </c>
      <c r="P32" s="35" t="n">
        <f aca="false">J32*$C$6+L32*$D$6+M32*$E$6+N32*$F$6+O32*$G$6</f>
        <v>14</v>
      </c>
      <c r="Q32" s="39" t="n">
        <f aca="false">K32*$C$7+L32*$D$7+M32*$E$7+N32*$F$7+O32*$G$7</f>
        <v>124.5722688</v>
      </c>
      <c r="R32" s="39" t="n">
        <f aca="false">K32*$C$8+L32*$D$8+M32*$E$8+N32*$F$8+O32*$G$8</f>
        <v>67.212827136</v>
      </c>
      <c r="S32" s="39" t="n">
        <f aca="false">K32*$C$9+L32*$D$9+M32*$E$9+N32*$F$9+O32*$G$9</f>
        <v>0</v>
      </c>
      <c r="T32" s="39" t="n">
        <f aca="false">K32*$C$10+L32*$D$10+M32*$E$10+N32*$F$10+O32*$G$10</f>
        <v>23.1702282</v>
      </c>
      <c r="U32" s="39" t="n">
        <f aca="false">K32*$C$11+L32*$D$11+M32*$E$11+N32*$F$11+O32*$G$11</f>
        <v>53.4492</v>
      </c>
      <c r="V32" s="39" t="n">
        <f aca="false">K32*$C$12+L32*$D$12+M32*$E$12+N32*$F$12+O32*$G$12</f>
        <v>0</v>
      </c>
      <c r="W32" s="39" t="n">
        <f aca="false">SUM(Q32:V32)</f>
        <v>268.404524136</v>
      </c>
      <c r="X32" s="39" t="n">
        <f aca="false">J32*$C$14+L32*$D$14+M32*$E$14+N32*$F$14+O32*$G$14</f>
        <v>445.421666666667</v>
      </c>
      <c r="Y32" s="39" t="n">
        <f aca="false">J32*$C$15+L32*$D$15+M32*$E$15+N32*$F$15+O32*$G$15</f>
        <v>350</v>
      </c>
      <c r="Z32" s="39" t="n">
        <f aca="false">K32*$C$16+L32*$D$16+M32*$E$16+N32*$F$16+O32*$G$16</f>
        <v>0.77234094</v>
      </c>
      <c r="AA32" s="39" t="n">
        <f aca="false">K32*$C$17+L32*$D$17+M32*$E$17+N32*$F$17+O32*$G$17</f>
        <v>9.285741529344</v>
      </c>
      <c r="AB32" s="39" t="n">
        <f aca="false">J32*$C$18+L32*$D$18+M32*$E$18+N32*$F$18+O32*$G$18</f>
        <v>0</v>
      </c>
      <c r="AC32" s="39" t="n">
        <f aca="false">H32*Assumptions!$C$67*Assumptions!$F$10</f>
        <v>0</v>
      </c>
      <c r="AD32" s="39" t="n">
        <f aca="false">SUM(X32:AC32)</f>
        <v>805.479749136011</v>
      </c>
      <c r="AE32" s="35" t="n">
        <f aca="false">K32*$C$20+L32*$D$20+M32*$E$20+N32*$F$20+O32*$G$20</f>
        <v>308.936376</v>
      </c>
      <c r="AF32" s="35" t="n">
        <f aca="false">K32*$C$21+L32*$D$21+M32*$E$21+N32*$F$21+O32*$G$21</f>
        <v>20595.7584</v>
      </c>
      <c r="AG32" s="35" t="n">
        <f aca="false">K32*$C$22+L32*$D$22+M32*$E$22+N32*$F$22+O32*$G$22</f>
        <v>12.413245824</v>
      </c>
      <c r="AH32" s="37" t="n">
        <f aca="false">P32/Assumptions!$C$76</f>
        <v>0.014</v>
      </c>
      <c r="AI32" s="37" t="n">
        <f aca="false">P32/Assumptions!$C$77</f>
        <v>0.014</v>
      </c>
      <c r="AJ32" s="37" t="n">
        <f aca="false">P32/Assumptions!$C$78</f>
        <v>0.116666666666667</v>
      </c>
      <c r="AK32" s="37" t="n">
        <f aca="false">H32/(Assumptions!$C$19/12)</f>
        <v>0</v>
      </c>
      <c r="AL32" s="37" t="n">
        <f aca="false">Assumptions!C$92</f>
        <v>0</v>
      </c>
      <c r="AM32" s="37" t="n">
        <f aca="false">Assumptions!C$93</f>
        <v>0</v>
      </c>
      <c r="AN32" s="37" t="n">
        <f aca="false">Assumptions!C$94</f>
        <v>0</v>
      </c>
      <c r="AO32" s="37" t="n">
        <f aca="false">SUM(AH32:AN32)</f>
        <v>0.144666666666667</v>
      </c>
      <c r="AP32" s="39" t="n">
        <f aca="false">AH32*Assumptions!$C$85*(1+Assumptions!$C$73)*(1+Assumptions!$C$74)^0/12</f>
        <v>102.083333333333</v>
      </c>
      <c r="AQ32" s="39" t="n">
        <f aca="false">AI32*Assumptions!$C$86*(1+Assumptions!$C$73)*(1+Assumptions!$C$74)^0/12</f>
        <v>94.7916666666667</v>
      </c>
      <c r="AR32" s="39" t="n">
        <f aca="false">AJ32*Assumptions!$C$87*(1+Assumptions!$C$73)*(1+Assumptions!$C$74)^0/12</f>
        <v>668.402777777778</v>
      </c>
      <c r="AS32" s="39" t="n">
        <f aca="false">AK32*Assumptions!$C$85*(1+Assumptions!$C$73)*(1+Assumptions!$C$74)^0/12</f>
        <v>0</v>
      </c>
      <c r="AT32" s="39" t="n">
        <f aca="false">AL32*Assumptions!$C$83*(1+Assumptions!$C$73)*(1+Assumptions!$C$74)^0/12</f>
        <v>0</v>
      </c>
      <c r="AU32" s="39" t="n">
        <f aca="false">AM32*Assumptions!$C$84*(1+Assumptions!$C$73)*(1+Assumptions!$C$74)^0/12</f>
        <v>0</v>
      </c>
      <c r="AV32" s="39" t="n">
        <f aca="false">AN32*Assumptions!$C$88*(1+Assumptions!$C$73)*(1+Assumptions!$C$74)^0/12</f>
        <v>0</v>
      </c>
      <c r="AW32" s="39" t="n">
        <f aca="false">SUM(AP32:AV32)</f>
        <v>865.277777777778</v>
      </c>
      <c r="AX32" s="39" t="n">
        <f aca="false">MIN(Assumptions!$C$80*W31,MAX(0,BS31+BC31))</f>
        <v>0</v>
      </c>
      <c r="AY32" s="39" t="n">
        <f aca="false">IF(SUM(AH32:AK32)&lt;=0,0,MIN(AX32,SUM(AP32:AS32)*MAX(0,1-Assumptions!$C$79/SUM(AH32:AK32))))</f>
        <v>0</v>
      </c>
      <c r="AZ32" s="36" t="n">
        <f aca="false">IF(SUM(AP32:AS32)=0,0,AY32/SUM(AP32:AS32))</f>
        <v>0</v>
      </c>
      <c r="BA32" s="39" t="n">
        <f aca="false">MIN(AX32-AY32,SUM(AT32:AV32))</f>
        <v>0</v>
      </c>
      <c r="BB32" s="36" t="n">
        <f aca="false">IF(SUM(AT32:AV32)=0,0,BA32/SUM(AT32:AV32))</f>
        <v>0</v>
      </c>
      <c r="BC32" s="39" t="n">
        <f aca="false">AY32+BA32</f>
        <v>0</v>
      </c>
      <c r="BD32" s="37" t="n">
        <f aca="false">SUM(AH32:AK32)*AZ32+SUM(AL32:AN32)*BB32</f>
        <v>0</v>
      </c>
      <c r="BE32" s="37" t="n">
        <f aca="false">MAX(0,SUM(AH32:AK32)*(1-AZ32)-Assumptions!$C$79)</f>
        <v>0</v>
      </c>
      <c r="BF32" s="39" t="n">
        <f aca="false">AP32*AZ32</f>
        <v>0</v>
      </c>
      <c r="BG32" s="39" t="n">
        <f aca="false">AQ32*AZ32</f>
        <v>0</v>
      </c>
      <c r="BH32" s="39" t="n">
        <f aca="false">AR32*AZ32</f>
        <v>0</v>
      </c>
      <c r="BI32" s="39" t="n">
        <f aca="false">AS32*AZ32</f>
        <v>0</v>
      </c>
      <c r="BJ32" s="39" t="n">
        <f aca="false">AT32*BB32</f>
        <v>0</v>
      </c>
      <c r="BK32" s="39" t="n">
        <f aca="false">AU32*BB32</f>
        <v>0</v>
      </c>
      <c r="BL32" s="39" t="n">
        <f aca="false">AV32*BB32</f>
        <v>0</v>
      </c>
      <c r="BM32" s="39" t="n">
        <f aca="false">H32*(Assumptions!$C$68+Assumptions!$C$66)*Assumptions!$F$10</f>
        <v>0</v>
      </c>
      <c r="BN32" s="39" t="n">
        <f aca="false">K32*$C$19+L32*$D$19+M32*$E$19+N32*$F$19+O32*$G$19</f>
        <v>0</v>
      </c>
      <c r="BO32" s="39" t="n">
        <f aca="false">Assumptions!$C$99*W32</f>
        <v>5.36809048272</v>
      </c>
      <c r="BP32" s="39" t="n">
        <f aca="false">Assumptions!C$98/12+P32*Assumptions!$C$101/12</f>
        <v>241.666666666667</v>
      </c>
      <c r="BQ32" s="39" t="n">
        <f aca="false">BD32*Assumptions!$C$102/12+Assumptions!$C$100</f>
        <v>100</v>
      </c>
      <c r="BR32" s="39" t="n">
        <f aca="false">SUM(BF32:BQ32)</f>
        <v>347.034757149387</v>
      </c>
      <c r="BS32" s="39" t="n">
        <f aca="false">W32-AD32-BR32</f>
        <v>-884.109982149397</v>
      </c>
      <c r="BT32" s="39" t="n">
        <f aca="false">MAX(0,BD32-BD31)*Assumptions!$C$103</f>
        <v>0</v>
      </c>
      <c r="BU32" s="39" t="n">
        <f aca="false">0</f>
        <v>0</v>
      </c>
      <c r="BV32" s="39" t="n">
        <f aca="false">-(W32-W31)*12*Assumptions!$C$108</f>
        <v>-96.62562868896</v>
      </c>
      <c r="BW32" s="39" t="n">
        <f aca="false">0</f>
        <v>0</v>
      </c>
      <c r="BX32" s="39" t="n">
        <f aca="false">BS32-BT32+BU32+BV32+BW32</f>
        <v>-980.735610838357</v>
      </c>
      <c r="BY32" s="29" t="n">
        <f aca="false">BY31+BX32</f>
        <v>2322.17605582831</v>
      </c>
    </row>
    <row r="33" customFormat="false" ht="15" hidden="false" customHeight="false" outlineLevel="0" collapsed="false">
      <c r="A33" s="45" t="n">
        <v>3</v>
      </c>
      <c r="B33" s="45" t="n">
        <v>2027</v>
      </c>
      <c r="C33" s="45" t="n">
        <v>0</v>
      </c>
      <c r="D33" s="35" t="n">
        <f aca="false">ROUND(Assumptions!C$18*Assumptions!$F$7/12,0)</f>
        <v>250</v>
      </c>
      <c r="E33" s="35" t="n">
        <f aca="false">Rollout!$C$10-I32</f>
        <v>8419</v>
      </c>
      <c r="F33" s="39" t="n">
        <f aca="false">H33*$C$26+H32*$D$26+H31*$E$26</f>
        <v>233.585681679653</v>
      </c>
      <c r="G33" s="39" t="n">
        <f aca="false">BY32-Assumptions!$C$110-F32-Assumptions!$C$111*(Assumptions!$C$100+Assumptions!C$98/12+BC32)</f>
        <v>-303.430704540325</v>
      </c>
      <c r="H33" s="35" t="n">
        <f aca="false">IF(BE32&gt;0,0,MAX(0,MIN(D33,E33,INT(G33/$C$27))))</f>
        <v>0</v>
      </c>
      <c r="I33" s="35" t="n">
        <f aca="false">I32+H33</f>
        <v>14</v>
      </c>
      <c r="J33" s="35" t="n">
        <f aca="false">SUM(H31:H33)</f>
        <v>14</v>
      </c>
      <c r="K33" s="35" t="n">
        <f aca="false">H33*$C$23+H32*$D$23+H31*$E$23</f>
        <v>5.0904</v>
      </c>
      <c r="L33" s="35" t="n">
        <f aca="false">0</f>
        <v>0</v>
      </c>
      <c r="M33" s="35" t="n">
        <f aca="false">0</f>
        <v>0</v>
      </c>
      <c r="N33" s="35" t="n">
        <f aca="false">0</f>
        <v>0</v>
      </c>
      <c r="O33" s="35" t="n">
        <f aca="false">0</f>
        <v>0</v>
      </c>
      <c r="P33" s="35" t="n">
        <f aca="false">J33*$C$6+L33*$D$6+M33*$E$6+N33*$F$6+O33*$G$6</f>
        <v>14</v>
      </c>
      <c r="Q33" s="39" t="n">
        <f aca="false">K33*$C$7+L33*$D$7+M33*$E$7+N33*$F$7+O33*$G$7</f>
        <v>249.1445376</v>
      </c>
      <c r="R33" s="39" t="n">
        <f aca="false">K33*$C$8+L33*$D$8+M33*$E$8+N33*$F$8+O33*$G$8</f>
        <v>134.425654272</v>
      </c>
      <c r="S33" s="39" t="n">
        <f aca="false">K33*$C$9+L33*$D$9+M33*$E$9+N33*$F$9+O33*$G$9</f>
        <v>0</v>
      </c>
      <c r="T33" s="39" t="n">
        <f aca="false">K33*$C$10+L33*$D$10+M33*$E$10+N33*$F$10+O33*$G$10</f>
        <v>46.3404564</v>
      </c>
      <c r="U33" s="39" t="n">
        <f aca="false">K33*$C$11+L33*$D$11+M33*$E$11+N33*$F$11+O33*$G$11</f>
        <v>106.8984</v>
      </c>
      <c r="V33" s="39" t="n">
        <f aca="false">K33*$C$12+L33*$D$12+M33*$E$12+N33*$F$12+O33*$G$12</f>
        <v>0</v>
      </c>
      <c r="W33" s="39" t="n">
        <f aca="false">SUM(Q33:V33)</f>
        <v>536.809048272</v>
      </c>
      <c r="X33" s="39" t="n">
        <f aca="false">J33*$C$14+L33*$D$14+M33*$E$14+N33*$F$14+O33*$G$14</f>
        <v>445.421666666667</v>
      </c>
      <c r="Y33" s="39" t="n">
        <f aca="false">J33*$C$15+L33*$D$15+M33*$E$15+N33*$F$15+O33*$G$15</f>
        <v>350</v>
      </c>
      <c r="Z33" s="39" t="n">
        <f aca="false">K33*$C$16+L33*$D$16+M33*$E$16+N33*$F$16+O33*$G$16</f>
        <v>1.54468188</v>
      </c>
      <c r="AA33" s="39" t="n">
        <f aca="false">K33*$C$17+L33*$D$17+M33*$E$17+N33*$F$17+O33*$G$17</f>
        <v>18.571483058688</v>
      </c>
      <c r="AB33" s="39" t="n">
        <f aca="false">J33*$C$18+L33*$D$18+M33*$E$18+N33*$F$18+O33*$G$18</f>
        <v>0</v>
      </c>
      <c r="AC33" s="39" t="n">
        <f aca="false">H33*Assumptions!$C$67*Assumptions!$F$10</f>
        <v>0</v>
      </c>
      <c r="AD33" s="39" t="n">
        <f aca="false">SUM(X33:AC33)</f>
        <v>815.537831605355</v>
      </c>
      <c r="AE33" s="35" t="n">
        <f aca="false">K33*$C$20+L33*$D$20+M33*$E$20+N33*$F$20+O33*$G$20</f>
        <v>617.872752</v>
      </c>
      <c r="AF33" s="35" t="n">
        <f aca="false">K33*$C$21+L33*$D$21+M33*$E$21+N33*$F$21+O33*$G$21</f>
        <v>41191.5168</v>
      </c>
      <c r="AG33" s="35" t="n">
        <f aca="false">K33*$C$22+L33*$D$22+M33*$E$22+N33*$F$22+O33*$G$22</f>
        <v>24.826491648</v>
      </c>
      <c r="AH33" s="37" t="n">
        <f aca="false">P33/Assumptions!$C$76</f>
        <v>0.014</v>
      </c>
      <c r="AI33" s="37" t="n">
        <f aca="false">P33/Assumptions!$C$77</f>
        <v>0.014</v>
      </c>
      <c r="AJ33" s="37" t="n">
        <f aca="false">P33/Assumptions!$C$78</f>
        <v>0.116666666666667</v>
      </c>
      <c r="AK33" s="37" t="n">
        <f aca="false">H33/(Assumptions!$C$19/12)</f>
        <v>0</v>
      </c>
      <c r="AL33" s="37" t="n">
        <f aca="false">Assumptions!C$92</f>
        <v>0</v>
      </c>
      <c r="AM33" s="37" t="n">
        <f aca="false">Assumptions!C$93</f>
        <v>0</v>
      </c>
      <c r="AN33" s="37" t="n">
        <f aca="false">Assumptions!C$94</f>
        <v>0</v>
      </c>
      <c r="AO33" s="37" t="n">
        <f aca="false">SUM(AH33:AN33)</f>
        <v>0.144666666666667</v>
      </c>
      <c r="AP33" s="39" t="n">
        <f aca="false">AH33*Assumptions!$C$85*(1+Assumptions!$C$73)*(1+Assumptions!$C$74)^0/12</f>
        <v>102.083333333333</v>
      </c>
      <c r="AQ33" s="39" t="n">
        <f aca="false">AI33*Assumptions!$C$86*(1+Assumptions!$C$73)*(1+Assumptions!$C$74)^0/12</f>
        <v>94.7916666666667</v>
      </c>
      <c r="AR33" s="39" t="n">
        <f aca="false">AJ33*Assumptions!$C$87*(1+Assumptions!$C$73)*(1+Assumptions!$C$74)^0/12</f>
        <v>668.402777777778</v>
      </c>
      <c r="AS33" s="39" t="n">
        <f aca="false">AK33*Assumptions!$C$85*(1+Assumptions!$C$73)*(1+Assumptions!$C$74)^0/12</f>
        <v>0</v>
      </c>
      <c r="AT33" s="39" t="n">
        <f aca="false">AL33*Assumptions!$C$83*(1+Assumptions!$C$73)*(1+Assumptions!$C$74)^0/12</f>
        <v>0</v>
      </c>
      <c r="AU33" s="39" t="n">
        <f aca="false">AM33*Assumptions!$C$84*(1+Assumptions!$C$73)*(1+Assumptions!$C$74)^0/12</f>
        <v>0</v>
      </c>
      <c r="AV33" s="39" t="n">
        <f aca="false">AN33*Assumptions!$C$88*(1+Assumptions!$C$73)*(1+Assumptions!$C$74)^0/12</f>
        <v>0</v>
      </c>
      <c r="AW33" s="39" t="n">
        <f aca="false">SUM(AP33:AV33)</f>
        <v>865.277777777778</v>
      </c>
      <c r="AX33" s="39" t="n">
        <f aca="false">MIN(Assumptions!$C$80*W32,MAX(0,BS32+BC32))</f>
        <v>0</v>
      </c>
      <c r="AY33" s="39" t="n">
        <f aca="false">IF(SUM(AH33:AK33)&lt;=0,0,MIN(AX33,SUM(AP33:AS33)*MAX(0,1-Assumptions!$C$79/SUM(AH33:AK33))))</f>
        <v>0</v>
      </c>
      <c r="AZ33" s="36" t="n">
        <f aca="false">IF(SUM(AP33:AS33)=0,0,AY33/SUM(AP33:AS33))</f>
        <v>0</v>
      </c>
      <c r="BA33" s="39" t="n">
        <f aca="false">MIN(AX33-AY33,SUM(AT33:AV33))</f>
        <v>0</v>
      </c>
      <c r="BB33" s="36" t="n">
        <f aca="false">IF(SUM(AT33:AV33)=0,0,BA33/SUM(AT33:AV33))</f>
        <v>0</v>
      </c>
      <c r="BC33" s="39" t="n">
        <f aca="false">AY33+BA33</f>
        <v>0</v>
      </c>
      <c r="BD33" s="37" t="n">
        <f aca="false">SUM(AH33:AK33)*AZ33+SUM(AL33:AN33)*BB33</f>
        <v>0</v>
      </c>
      <c r="BE33" s="37" t="n">
        <f aca="false">MAX(0,SUM(AH33:AK33)*(1-AZ33)-Assumptions!$C$79)</f>
        <v>0</v>
      </c>
      <c r="BF33" s="39" t="n">
        <f aca="false">AP33*AZ33</f>
        <v>0</v>
      </c>
      <c r="BG33" s="39" t="n">
        <f aca="false">AQ33*AZ33</f>
        <v>0</v>
      </c>
      <c r="BH33" s="39" t="n">
        <f aca="false">AR33*AZ33</f>
        <v>0</v>
      </c>
      <c r="BI33" s="39" t="n">
        <f aca="false">AS33*AZ33</f>
        <v>0</v>
      </c>
      <c r="BJ33" s="39" t="n">
        <f aca="false">AT33*BB33</f>
        <v>0</v>
      </c>
      <c r="BK33" s="39" t="n">
        <f aca="false">AU33*BB33</f>
        <v>0</v>
      </c>
      <c r="BL33" s="39" t="n">
        <f aca="false">AV33*BB33</f>
        <v>0</v>
      </c>
      <c r="BM33" s="39" t="n">
        <f aca="false">H33*(Assumptions!$C$68+Assumptions!$C$66)*Assumptions!$F$10</f>
        <v>0</v>
      </c>
      <c r="BN33" s="39" t="n">
        <f aca="false">K33*$C$19+L33*$D$19+M33*$E$19+N33*$F$19+O33*$G$19</f>
        <v>0</v>
      </c>
      <c r="BO33" s="39" t="n">
        <f aca="false">Assumptions!$C$99*W33</f>
        <v>10.73618096544</v>
      </c>
      <c r="BP33" s="39" t="n">
        <f aca="false">Assumptions!C$98/12+P33*Assumptions!$C$101/12</f>
        <v>241.666666666667</v>
      </c>
      <c r="BQ33" s="39" t="n">
        <f aca="false">BD33*Assumptions!$C$102/12+Assumptions!$C$100</f>
        <v>100</v>
      </c>
      <c r="BR33" s="39" t="n">
        <f aca="false">SUM(BF33:BQ33)</f>
        <v>352.402847632107</v>
      </c>
      <c r="BS33" s="39" t="n">
        <f aca="false">W33-AD33-BR33</f>
        <v>-631.131630965462</v>
      </c>
      <c r="BT33" s="39" t="n">
        <f aca="false">MAX(0,BD33-BD32)*Assumptions!$C$103</f>
        <v>0</v>
      </c>
      <c r="BU33" s="39" t="n">
        <f aca="false">0</f>
        <v>0</v>
      </c>
      <c r="BV33" s="39" t="n">
        <f aca="false">-(W33-W32)*12*Assumptions!$C$108</f>
        <v>-96.62562868896</v>
      </c>
      <c r="BW33" s="39" t="n">
        <f aca="false">0</f>
        <v>0</v>
      </c>
      <c r="BX33" s="39" t="n">
        <f aca="false">BS33-BT33+BU33+BV33+BW33</f>
        <v>-727.757259654421</v>
      </c>
      <c r="BY33" s="29" t="n">
        <f aca="false">BY32+BX33</f>
        <v>1594.41879617389</v>
      </c>
    </row>
    <row r="34" customFormat="false" ht="15" hidden="false" customHeight="false" outlineLevel="0" collapsed="false">
      <c r="A34" s="45" t="n">
        <v>4</v>
      </c>
      <c r="B34" s="45" t="n">
        <v>2027</v>
      </c>
      <c r="C34" s="45" t="n">
        <v>0</v>
      </c>
      <c r="D34" s="35" t="n">
        <f aca="false">ROUND(Assumptions!C$18*Assumptions!$F$7/12,0)</f>
        <v>250</v>
      </c>
      <c r="E34" s="35" t="n">
        <f aca="false">Rollout!$C$10-I33</f>
        <v>8419</v>
      </c>
      <c r="F34" s="39" t="n">
        <f aca="false">H34*$C$26+H33*$D$26+H32*$E$26+H31*$F$26</f>
        <v>0</v>
      </c>
      <c r="G34" s="39" t="n">
        <f aca="false">BY33-Assumptions!$C$110-F33-Assumptions!$C$111*(Assumptions!$C$100+Assumptions!C$98/12+BC33)</f>
        <v>-539.166885505765</v>
      </c>
      <c r="H34" s="35" t="n">
        <f aca="false">IF(BE33&gt;0,0,MAX(0,MIN(D34,E34,INT(G34/$C$27))))</f>
        <v>0</v>
      </c>
      <c r="I34" s="35" t="n">
        <f aca="false">I33+H34</f>
        <v>14</v>
      </c>
      <c r="J34" s="35" t="n">
        <f aca="false">SUM(H31:H34)</f>
        <v>14</v>
      </c>
      <c r="K34" s="35" t="n">
        <f aca="false">H34*$C$23+H33*$D$23+H32*$E$23+H31*$F$23</f>
        <v>7.637</v>
      </c>
      <c r="L34" s="35" t="n">
        <f aca="false">0</f>
        <v>0</v>
      </c>
      <c r="M34" s="35" t="n">
        <f aca="false">0</f>
        <v>0</v>
      </c>
      <c r="N34" s="35" t="n">
        <f aca="false">0</f>
        <v>0</v>
      </c>
      <c r="O34" s="35" t="n">
        <f aca="false">0</f>
        <v>0</v>
      </c>
      <c r="P34" s="35" t="n">
        <f aca="false">J34*$C$6+L34*$D$6+M34*$E$6+N34*$F$6+O34*$G$6</f>
        <v>14</v>
      </c>
      <c r="Q34" s="39" t="n">
        <f aca="false">K34*$C$7+L34*$D$7+M34*$E$7+N34*$F$7+O34*$G$7</f>
        <v>373.785328</v>
      </c>
      <c r="R34" s="39" t="n">
        <f aca="false">K34*$C$8+L34*$D$8+M34*$E$8+N34*$F$8+O34*$G$8</f>
        <v>201.67545216</v>
      </c>
      <c r="S34" s="39" t="n">
        <f aca="false">K34*$C$9+L34*$D$9+M34*$E$9+N34*$F$9+O34*$G$9</f>
        <v>0</v>
      </c>
      <c r="T34" s="39" t="n">
        <f aca="false">K34*$C$10+L34*$D$10+M34*$E$10+N34*$F$10+O34*$G$10</f>
        <v>69.5234295</v>
      </c>
      <c r="U34" s="39" t="n">
        <f aca="false">K34*$C$11+L34*$D$11+M34*$E$11+N34*$F$11+O34*$G$11</f>
        <v>160.377</v>
      </c>
      <c r="V34" s="39" t="n">
        <f aca="false">K34*$C$12+L34*$D$12+M34*$E$12+N34*$F$12+O34*$G$12</f>
        <v>0</v>
      </c>
      <c r="W34" s="39" t="n">
        <f aca="false">SUM(Q34:V34)</f>
        <v>805.36120966</v>
      </c>
      <c r="X34" s="39" t="n">
        <f aca="false">J34*$C$14+L34*$D$14+M34*$E$14+N34*$F$14+O34*$G$14</f>
        <v>445.421666666667</v>
      </c>
      <c r="Y34" s="39" t="n">
        <f aca="false">J34*$C$15+L34*$D$15+M34*$E$15+N34*$F$15+O34*$G$15</f>
        <v>350</v>
      </c>
      <c r="Z34" s="39" t="n">
        <f aca="false">K34*$C$16+L34*$D$16+M34*$E$16+N34*$F$16+O34*$G$16</f>
        <v>2.31744765</v>
      </c>
      <c r="AA34" s="39" t="n">
        <f aca="false">K34*$C$17+L34*$D$17+M34*$E$17+N34*$F$17+O34*$G$17</f>
        <v>27.86233225664</v>
      </c>
      <c r="AB34" s="39" t="n">
        <f aca="false">J34*$C$18+L34*$D$18+M34*$E$18+N34*$F$18+O34*$G$18</f>
        <v>0</v>
      </c>
      <c r="AC34" s="39" t="n">
        <f aca="false">H34*Assumptions!$C$67*Assumptions!$F$10</f>
        <v>0</v>
      </c>
      <c r="AD34" s="39" t="n">
        <f aca="false">SUM(X34:AC34)</f>
        <v>825.601446573307</v>
      </c>
      <c r="AE34" s="35" t="n">
        <f aca="false">K34*$C$20+L34*$D$20+M34*$E$20+N34*$F$20+O34*$G$20</f>
        <v>926.97906</v>
      </c>
      <c r="AF34" s="35" t="n">
        <f aca="false">K34*$C$21+L34*$D$21+M34*$E$21+N34*$F$21+O34*$G$21</f>
        <v>61798.604</v>
      </c>
      <c r="AG34" s="35" t="n">
        <f aca="false">K34*$C$22+L34*$D$22+M34*$E$22+N34*$F$22+O34*$G$22</f>
        <v>37.24656544</v>
      </c>
      <c r="AH34" s="37" t="n">
        <f aca="false">P34/Assumptions!$C$76</f>
        <v>0.014</v>
      </c>
      <c r="AI34" s="37" t="n">
        <f aca="false">P34/Assumptions!$C$77</f>
        <v>0.014</v>
      </c>
      <c r="AJ34" s="37" t="n">
        <f aca="false">P34/Assumptions!$C$78</f>
        <v>0.116666666666667</v>
      </c>
      <c r="AK34" s="37" t="n">
        <f aca="false">H34/(Assumptions!$C$19/12)</f>
        <v>0</v>
      </c>
      <c r="AL34" s="37" t="n">
        <f aca="false">Assumptions!C$92</f>
        <v>0</v>
      </c>
      <c r="AM34" s="37" t="n">
        <f aca="false">Assumptions!C$93</f>
        <v>0</v>
      </c>
      <c r="AN34" s="37" t="n">
        <f aca="false">Assumptions!C$94</f>
        <v>0</v>
      </c>
      <c r="AO34" s="37" t="n">
        <f aca="false">SUM(AH34:AN34)</f>
        <v>0.144666666666667</v>
      </c>
      <c r="AP34" s="39" t="n">
        <f aca="false">AH34*Assumptions!$C$85*(1+Assumptions!$C$73)*(1+Assumptions!$C$74)^0/12</f>
        <v>102.083333333333</v>
      </c>
      <c r="AQ34" s="39" t="n">
        <f aca="false">AI34*Assumptions!$C$86*(1+Assumptions!$C$73)*(1+Assumptions!$C$74)^0/12</f>
        <v>94.7916666666667</v>
      </c>
      <c r="AR34" s="39" t="n">
        <f aca="false">AJ34*Assumptions!$C$87*(1+Assumptions!$C$73)*(1+Assumptions!$C$74)^0/12</f>
        <v>668.402777777778</v>
      </c>
      <c r="AS34" s="39" t="n">
        <f aca="false">AK34*Assumptions!$C$85*(1+Assumptions!$C$73)*(1+Assumptions!$C$74)^0/12</f>
        <v>0</v>
      </c>
      <c r="AT34" s="39" t="n">
        <f aca="false">AL34*Assumptions!$C$83*(1+Assumptions!$C$73)*(1+Assumptions!$C$74)^0/12</f>
        <v>0</v>
      </c>
      <c r="AU34" s="39" t="n">
        <f aca="false">AM34*Assumptions!$C$84*(1+Assumptions!$C$73)*(1+Assumptions!$C$74)^0/12</f>
        <v>0</v>
      </c>
      <c r="AV34" s="39" t="n">
        <f aca="false">AN34*Assumptions!$C$88*(1+Assumptions!$C$73)*(1+Assumptions!$C$74)^0/12</f>
        <v>0</v>
      </c>
      <c r="AW34" s="39" t="n">
        <f aca="false">SUM(AP34:AV34)</f>
        <v>865.277777777778</v>
      </c>
      <c r="AX34" s="39" t="n">
        <f aca="false">MIN(Assumptions!$C$80*W33,MAX(0,BS33+BC33))</f>
        <v>0</v>
      </c>
      <c r="AY34" s="39" t="n">
        <f aca="false">IF(SUM(AH34:AK34)&lt;=0,0,MIN(AX34,SUM(AP34:AS34)*MAX(0,1-Assumptions!$C$79/SUM(AH34:AK34))))</f>
        <v>0</v>
      </c>
      <c r="AZ34" s="36" t="n">
        <f aca="false">IF(SUM(AP34:AS34)=0,0,AY34/SUM(AP34:AS34))</f>
        <v>0</v>
      </c>
      <c r="BA34" s="39" t="n">
        <f aca="false">MIN(AX34-AY34,SUM(AT34:AV34))</f>
        <v>0</v>
      </c>
      <c r="BB34" s="36" t="n">
        <f aca="false">IF(SUM(AT34:AV34)=0,0,BA34/SUM(AT34:AV34))</f>
        <v>0</v>
      </c>
      <c r="BC34" s="39" t="n">
        <f aca="false">AY34+BA34</f>
        <v>0</v>
      </c>
      <c r="BD34" s="37" t="n">
        <f aca="false">SUM(AH34:AK34)*AZ34+SUM(AL34:AN34)*BB34</f>
        <v>0</v>
      </c>
      <c r="BE34" s="37" t="n">
        <f aca="false">MAX(0,SUM(AH34:AK34)*(1-AZ34)-Assumptions!$C$79)</f>
        <v>0</v>
      </c>
      <c r="BF34" s="39" t="n">
        <f aca="false">AP34*AZ34</f>
        <v>0</v>
      </c>
      <c r="BG34" s="39" t="n">
        <f aca="false">AQ34*AZ34</f>
        <v>0</v>
      </c>
      <c r="BH34" s="39" t="n">
        <f aca="false">AR34*AZ34</f>
        <v>0</v>
      </c>
      <c r="BI34" s="39" t="n">
        <f aca="false">AS34*AZ34</f>
        <v>0</v>
      </c>
      <c r="BJ34" s="39" t="n">
        <f aca="false">AT34*BB34</f>
        <v>0</v>
      </c>
      <c r="BK34" s="39" t="n">
        <f aca="false">AU34*BB34</f>
        <v>0</v>
      </c>
      <c r="BL34" s="39" t="n">
        <f aca="false">AV34*BB34</f>
        <v>0</v>
      </c>
      <c r="BM34" s="39" t="n">
        <f aca="false">H34*(Assumptions!$C$68+Assumptions!$C$66)*Assumptions!$F$10</f>
        <v>0</v>
      </c>
      <c r="BN34" s="39" t="n">
        <f aca="false">K34*$C$19+L34*$D$19+M34*$E$19+N34*$F$19+O34*$G$19</f>
        <v>0</v>
      </c>
      <c r="BO34" s="39" t="n">
        <f aca="false">Assumptions!$C$99*W34</f>
        <v>16.1072241932</v>
      </c>
      <c r="BP34" s="39" t="n">
        <f aca="false">Assumptions!C$98/12+P34*Assumptions!$C$101/12</f>
        <v>241.666666666667</v>
      </c>
      <c r="BQ34" s="39" t="n">
        <f aca="false">BD34*Assumptions!$C$102/12+Assumptions!$C$100</f>
        <v>100</v>
      </c>
      <c r="BR34" s="39" t="n">
        <f aca="false">SUM(BF34:BQ34)</f>
        <v>357.773890859867</v>
      </c>
      <c r="BS34" s="39" t="n">
        <f aca="false">W34-AD34-BR34</f>
        <v>-378.014127773173</v>
      </c>
      <c r="BT34" s="39" t="n">
        <f aca="false">MAX(0,BD34-BD33)*Assumptions!$C$103</f>
        <v>0</v>
      </c>
      <c r="BU34" s="39" t="n">
        <f aca="false">0</f>
        <v>0</v>
      </c>
      <c r="BV34" s="39" t="n">
        <f aca="false">-(W34-W33)*12*Assumptions!$C$108</f>
        <v>-96.67877809968</v>
      </c>
      <c r="BW34" s="39" t="n">
        <f aca="false">0</f>
        <v>0</v>
      </c>
      <c r="BX34" s="39" t="n">
        <f aca="false">BS34-BT34+BU34+BV34+BW34</f>
        <v>-474.692905872853</v>
      </c>
      <c r="BY34" s="29" t="n">
        <f aca="false">BY33+BX34</f>
        <v>1119.72589030103</v>
      </c>
    </row>
    <row r="35" customFormat="false" ht="15" hidden="false" customHeight="false" outlineLevel="0" collapsed="false">
      <c r="A35" s="45" t="n">
        <v>5</v>
      </c>
      <c r="B35" s="45" t="n">
        <v>2027</v>
      </c>
      <c r="C35" s="45" t="n">
        <v>0</v>
      </c>
      <c r="D35" s="35" t="n">
        <f aca="false">ROUND(Assumptions!C$18*Assumptions!$F$7/12,0)</f>
        <v>250</v>
      </c>
      <c r="E35" s="35" t="n">
        <f aca="false">Rollout!$C$10-I34</f>
        <v>8419</v>
      </c>
      <c r="F35" s="39" t="n">
        <f aca="false">H35*$C$26+H34*$D$26+H33*$E$26+H32*$F$26+H31*$G$26</f>
        <v>0</v>
      </c>
      <c r="G35" s="39" t="n">
        <f aca="false">BY34-Assumptions!$C$110-F34-Assumptions!$C$111*(Assumptions!$C$100+Assumptions!C$98/12+BC34)</f>
        <v>-780.274109698965</v>
      </c>
      <c r="H35" s="35" t="n">
        <f aca="false">IF(BE34&gt;0,0,MAX(0,MIN(D35,E35,INT(G35/$C$27))))</f>
        <v>0</v>
      </c>
      <c r="I35" s="35" t="n">
        <f aca="false">I34+H35</f>
        <v>14</v>
      </c>
      <c r="J35" s="35" t="n">
        <f aca="false">SUM(H31:H35)</f>
        <v>14</v>
      </c>
      <c r="K35" s="35" t="n">
        <f aca="false">H35*$C$23+H34*$D$23+H33*$E$23+H32*$F$23+H31*$G$23</f>
        <v>10.1822</v>
      </c>
      <c r="L35" s="35" t="n">
        <f aca="false">0</f>
        <v>0</v>
      </c>
      <c r="M35" s="35" t="n">
        <f aca="false">0</f>
        <v>0</v>
      </c>
      <c r="N35" s="35" t="n">
        <f aca="false">0</f>
        <v>0</v>
      </c>
      <c r="O35" s="35" t="n">
        <f aca="false">0</f>
        <v>0</v>
      </c>
      <c r="P35" s="35" t="n">
        <f aca="false">J35*$C$6+L35*$D$6+M35*$E$6+N35*$F$6+O35*$G$6</f>
        <v>14</v>
      </c>
      <c r="Q35" s="39" t="n">
        <f aca="false">K35*$C$7+L35*$D$7+M35*$E$7+N35*$F$7+O35*$G$7</f>
        <v>498.3575968</v>
      </c>
      <c r="R35" s="39" t="n">
        <f aca="false">K35*$C$8+L35*$D$8+M35*$E$8+N35*$F$8+O35*$G$8</f>
        <v>268.888279296</v>
      </c>
      <c r="S35" s="39" t="n">
        <f aca="false">K35*$C$9+L35*$D$9+M35*$E$9+N35*$F$9+O35*$G$9</f>
        <v>0</v>
      </c>
      <c r="T35" s="39" t="n">
        <f aca="false">K35*$C$10+L35*$D$10+M35*$E$10+N35*$F$10+O35*$G$10</f>
        <v>92.6936577</v>
      </c>
      <c r="U35" s="39" t="n">
        <f aca="false">K35*$C$11+L35*$D$11+M35*$E$11+N35*$F$11+O35*$G$11</f>
        <v>213.8262</v>
      </c>
      <c r="V35" s="39" t="n">
        <f aca="false">K35*$C$12+L35*$D$12+M35*$E$12+N35*$F$12+O35*$G$12</f>
        <v>0</v>
      </c>
      <c r="W35" s="39" t="n">
        <f aca="false">SUM(Q35:V35)</f>
        <v>1073.765733796</v>
      </c>
      <c r="X35" s="39" t="n">
        <f aca="false">J35*$C$14+L35*$D$14+M35*$E$14+N35*$F$14+O35*$G$14</f>
        <v>445.421666666667</v>
      </c>
      <c r="Y35" s="39" t="n">
        <f aca="false">J35*$C$15+L35*$D$15+M35*$E$15+N35*$F$15+O35*$G$15</f>
        <v>350</v>
      </c>
      <c r="Z35" s="39" t="n">
        <f aca="false">K35*$C$16+L35*$D$16+M35*$E$16+N35*$F$16+O35*$G$16</f>
        <v>3.08978859</v>
      </c>
      <c r="AA35" s="39" t="n">
        <f aca="false">K35*$C$17+L35*$D$17+M35*$E$17+N35*$F$17+O35*$G$17</f>
        <v>37.148073785984</v>
      </c>
      <c r="AB35" s="39" t="n">
        <f aca="false">J35*$C$18+L35*$D$18+M35*$E$18+N35*$F$18+O35*$G$18</f>
        <v>0</v>
      </c>
      <c r="AC35" s="39" t="n">
        <f aca="false">H35*Assumptions!$C$67*Assumptions!$F$10</f>
        <v>0</v>
      </c>
      <c r="AD35" s="39" t="n">
        <f aca="false">SUM(X35:AC35)</f>
        <v>835.659529042651</v>
      </c>
      <c r="AE35" s="35" t="n">
        <f aca="false">K35*$C$20+L35*$D$20+M35*$E$20+N35*$F$20+O35*$G$20</f>
        <v>1235.915436</v>
      </c>
      <c r="AF35" s="35" t="n">
        <f aca="false">K35*$C$21+L35*$D$21+M35*$E$21+N35*$F$21+O35*$G$21</f>
        <v>82394.3624</v>
      </c>
      <c r="AG35" s="35" t="n">
        <f aca="false">K35*$C$22+L35*$D$22+M35*$E$22+N35*$F$22+O35*$G$22</f>
        <v>49.659811264</v>
      </c>
      <c r="AH35" s="37" t="n">
        <f aca="false">P35/Assumptions!$C$76</f>
        <v>0.014</v>
      </c>
      <c r="AI35" s="37" t="n">
        <f aca="false">P35/Assumptions!$C$77</f>
        <v>0.014</v>
      </c>
      <c r="AJ35" s="37" t="n">
        <f aca="false">P35/Assumptions!$C$78</f>
        <v>0.116666666666667</v>
      </c>
      <c r="AK35" s="37" t="n">
        <f aca="false">H35/(Assumptions!$C$19/12)</f>
        <v>0</v>
      </c>
      <c r="AL35" s="37" t="n">
        <f aca="false">Assumptions!C$92</f>
        <v>0</v>
      </c>
      <c r="AM35" s="37" t="n">
        <f aca="false">Assumptions!C$93</f>
        <v>0</v>
      </c>
      <c r="AN35" s="37" t="n">
        <f aca="false">Assumptions!C$94</f>
        <v>0</v>
      </c>
      <c r="AO35" s="37" t="n">
        <f aca="false">SUM(AH35:AN35)</f>
        <v>0.144666666666667</v>
      </c>
      <c r="AP35" s="39" t="n">
        <f aca="false">AH35*Assumptions!$C$85*(1+Assumptions!$C$73)*(1+Assumptions!$C$74)^0/12</f>
        <v>102.083333333333</v>
      </c>
      <c r="AQ35" s="39" t="n">
        <f aca="false">AI35*Assumptions!$C$86*(1+Assumptions!$C$73)*(1+Assumptions!$C$74)^0/12</f>
        <v>94.7916666666667</v>
      </c>
      <c r="AR35" s="39" t="n">
        <f aca="false">AJ35*Assumptions!$C$87*(1+Assumptions!$C$73)*(1+Assumptions!$C$74)^0/12</f>
        <v>668.402777777778</v>
      </c>
      <c r="AS35" s="39" t="n">
        <f aca="false">AK35*Assumptions!$C$85*(1+Assumptions!$C$73)*(1+Assumptions!$C$74)^0/12</f>
        <v>0</v>
      </c>
      <c r="AT35" s="39" t="n">
        <f aca="false">AL35*Assumptions!$C$83*(1+Assumptions!$C$73)*(1+Assumptions!$C$74)^0/12</f>
        <v>0</v>
      </c>
      <c r="AU35" s="39" t="n">
        <f aca="false">AM35*Assumptions!$C$84*(1+Assumptions!$C$73)*(1+Assumptions!$C$74)^0/12</f>
        <v>0</v>
      </c>
      <c r="AV35" s="39" t="n">
        <f aca="false">AN35*Assumptions!$C$88*(1+Assumptions!$C$73)*(1+Assumptions!$C$74)^0/12</f>
        <v>0</v>
      </c>
      <c r="AW35" s="39" t="n">
        <f aca="false">SUM(AP35:AV35)</f>
        <v>865.277777777778</v>
      </c>
      <c r="AX35" s="39" t="n">
        <f aca="false">MIN(Assumptions!$C$80*W34,MAX(0,BS34+BC34))</f>
        <v>0</v>
      </c>
      <c r="AY35" s="39" t="n">
        <f aca="false">IF(SUM(AH35:AK35)&lt;=0,0,MIN(AX35,SUM(AP35:AS35)*MAX(0,1-Assumptions!$C$79/SUM(AH35:AK35))))</f>
        <v>0</v>
      </c>
      <c r="AZ35" s="36" t="n">
        <f aca="false">IF(SUM(AP35:AS35)=0,0,AY35/SUM(AP35:AS35))</f>
        <v>0</v>
      </c>
      <c r="BA35" s="39" t="n">
        <f aca="false">MIN(AX35-AY35,SUM(AT35:AV35))</f>
        <v>0</v>
      </c>
      <c r="BB35" s="36" t="n">
        <f aca="false">IF(SUM(AT35:AV35)=0,0,BA35/SUM(AT35:AV35))</f>
        <v>0</v>
      </c>
      <c r="BC35" s="39" t="n">
        <f aca="false">AY35+BA35</f>
        <v>0</v>
      </c>
      <c r="BD35" s="37" t="n">
        <f aca="false">SUM(AH35:AK35)*AZ35+SUM(AL35:AN35)*BB35</f>
        <v>0</v>
      </c>
      <c r="BE35" s="37" t="n">
        <f aca="false">MAX(0,SUM(AH35:AK35)*(1-AZ35)-Assumptions!$C$79)</f>
        <v>0</v>
      </c>
      <c r="BF35" s="39" t="n">
        <f aca="false">AP35*AZ35</f>
        <v>0</v>
      </c>
      <c r="BG35" s="39" t="n">
        <f aca="false">AQ35*AZ35</f>
        <v>0</v>
      </c>
      <c r="BH35" s="39" t="n">
        <f aca="false">AR35*AZ35</f>
        <v>0</v>
      </c>
      <c r="BI35" s="39" t="n">
        <f aca="false">AS35*AZ35</f>
        <v>0</v>
      </c>
      <c r="BJ35" s="39" t="n">
        <f aca="false">AT35*BB35</f>
        <v>0</v>
      </c>
      <c r="BK35" s="39" t="n">
        <f aca="false">AU35*BB35</f>
        <v>0</v>
      </c>
      <c r="BL35" s="39" t="n">
        <f aca="false">AV35*BB35</f>
        <v>0</v>
      </c>
      <c r="BM35" s="39" t="n">
        <f aca="false">H35*(Assumptions!$C$68+Assumptions!$C$66)*Assumptions!$F$10</f>
        <v>0</v>
      </c>
      <c r="BN35" s="39" t="n">
        <f aca="false">K35*$C$19+L35*$D$19+M35*$E$19+N35*$F$19+O35*$G$19</f>
        <v>0</v>
      </c>
      <c r="BO35" s="39" t="n">
        <f aca="false">Assumptions!$C$99*W35</f>
        <v>21.47531467592</v>
      </c>
      <c r="BP35" s="39" t="n">
        <f aca="false">Assumptions!C$98/12+P35*Assumptions!$C$101/12</f>
        <v>241.666666666667</v>
      </c>
      <c r="BQ35" s="39" t="n">
        <f aca="false">BD35*Assumptions!$C$102/12+Assumptions!$C$100</f>
        <v>100</v>
      </c>
      <c r="BR35" s="39" t="n">
        <f aca="false">SUM(BF35:BQ35)</f>
        <v>363.141981342587</v>
      </c>
      <c r="BS35" s="39" t="n">
        <f aca="false">W35-AD35-BR35</f>
        <v>-125.035776589237</v>
      </c>
      <c r="BT35" s="39" t="n">
        <f aca="false">MAX(0,BD35-BD34)*Assumptions!$C$103</f>
        <v>0</v>
      </c>
      <c r="BU35" s="39" t="n">
        <f aca="false">0</f>
        <v>0</v>
      </c>
      <c r="BV35" s="39" t="n">
        <f aca="false">-(W35-W34)*12*Assumptions!$C$108</f>
        <v>-96.6256286889601</v>
      </c>
      <c r="BW35" s="39" t="n">
        <f aca="false">0</f>
        <v>0</v>
      </c>
      <c r="BX35" s="39" t="n">
        <f aca="false">BS35-BT35+BU35+BV35+BW35</f>
        <v>-221.661405278197</v>
      </c>
      <c r="BY35" s="29" t="n">
        <f aca="false">BY34+BX35</f>
        <v>898.064485022838</v>
      </c>
    </row>
    <row r="36" customFormat="false" ht="15" hidden="false" customHeight="false" outlineLevel="0" collapsed="false">
      <c r="A36" s="45" t="n">
        <v>6</v>
      </c>
      <c r="B36" s="45" t="n">
        <v>2027</v>
      </c>
      <c r="C36" s="45" t="n">
        <v>0</v>
      </c>
      <c r="D36" s="35" t="n">
        <f aca="false">ROUND(Assumptions!C$18*Assumptions!$F$7/12,0)</f>
        <v>250</v>
      </c>
      <c r="E36" s="35" t="n">
        <f aca="false">Rollout!$C$10-I35</f>
        <v>8419</v>
      </c>
      <c r="F36" s="39" t="n">
        <f aca="false">H36*$C$26+H35*$D$26+H34*$E$26+H33*$F$26+H32*$G$26+H31*$H$26</f>
        <v>0</v>
      </c>
      <c r="G36" s="39" t="n">
        <f aca="false">BY35-Assumptions!$C$110-F35-Assumptions!$C$111*(Assumptions!$C$100+Assumptions!C$98/12+BC35)</f>
        <v>-1001.93551497716</v>
      </c>
      <c r="H36" s="35" t="n">
        <f aca="false">IF(BE35&gt;0,0,MAX(0,MIN(D36,E36,INT(G36/$C$27))))</f>
        <v>0</v>
      </c>
      <c r="I36" s="35" t="n">
        <f aca="false">I35+H36</f>
        <v>14</v>
      </c>
      <c r="J36" s="35" t="n">
        <f aca="false">SUM(H31:H36)</f>
        <v>14</v>
      </c>
      <c r="K36" s="35" t="n">
        <f aca="false">H36*$C$23+H35*$D$23+H34*$E$23+H33*$F$23+H32*$G$23+H31*$H$23</f>
        <v>12.7274</v>
      </c>
      <c r="L36" s="35" t="n">
        <f aca="false">0</f>
        <v>0</v>
      </c>
      <c r="M36" s="35" t="n">
        <f aca="false">0</f>
        <v>0</v>
      </c>
      <c r="N36" s="35" t="n">
        <f aca="false">0</f>
        <v>0</v>
      </c>
      <c r="O36" s="35" t="n">
        <f aca="false">0</f>
        <v>0</v>
      </c>
      <c r="P36" s="35" t="n">
        <f aca="false">J36*$C$6+L36*$D$6+M36*$E$6+N36*$F$6+O36*$G$6</f>
        <v>14</v>
      </c>
      <c r="Q36" s="39" t="n">
        <f aca="false">K36*$C$7+L36*$D$7+M36*$E$7+N36*$F$7+O36*$G$7</f>
        <v>622.9298656</v>
      </c>
      <c r="R36" s="39" t="n">
        <f aca="false">K36*$C$8+L36*$D$8+M36*$E$8+N36*$F$8+O36*$G$8</f>
        <v>336.101106432</v>
      </c>
      <c r="S36" s="39" t="n">
        <f aca="false">K36*$C$9+L36*$D$9+M36*$E$9+N36*$F$9+O36*$G$9</f>
        <v>0</v>
      </c>
      <c r="T36" s="39" t="n">
        <f aca="false">K36*$C$10+L36*$D$10+M36*$E$10+N36*$F$10+O36*$G$10</f>
        <v>115.8638859</v>
      </c>
      <c r="U36" s="39" t="n">
        <f aca="false">K36*$C$11+L36*$D$11+M36*$E$11+N36*$F$11+O36*$G$11</f>
        <v>267.2754</v>
      </c>
      <c r="V36" s="39" t="n">
        <f aca="false">K36*$C$12+L36*$D$12+M36*$E$12+N36*$F$12+O36*$G$12</f>
        <v>0</v>
      </c>
      <c r="W36" s="39" t="n">
        <f aca="false">SUM(Q36:V36)</f>
        <v>1342.170257932</v>
      </c>
      <c r="X36" s="39" t="n">
        <f aca="false">J36*$C$14+L36*$D$14+M36*$E$14+N36*$F$14+O36*$G$14</f>
        <v>445.421666666667</v>
      </c>
      <c r="Y36" s="39" t="n">
        <f aca="false">J36*$C$15+L36*$D$15+M36*$E$15+N36*$F$15+O36*$G$15</f>
        <v>350</v>
      </c>
      <c r="Z36" s="39" t="n">
        <f aca="false">K36*$C$16+L36*$D$16+M36*$E$16+N36*$F$16+O36*$G$16</f>
        <v>3.86212953</v>
      </c>
      <c r="AA36" s="39" t="n">
        <f aca="false">K36*$C$17+L36*$D$17+M36*$E$17+N36*$F$17+O36*$G$17</f>
        <v>46.433815315328</v>
      </c>
      <c r="AB36" s="39" t="n">
        <f aca="false">J36*$C$18+L36*$D$18+M36*$E$18+N36*$F$18+O36*$G$18</f>
        <v>0</v>
      </c>
      <c r="AC36" s="39" t="n">
        <f aca="false">H36*Assumptions!$C$67*Assumptions!$F$10</f>
        <v>0</v>
      </c>
      <c r="AD36" s="39" t="n">
        <f aca="false">SUM(X36:AC36)</f>
        <v>845.717611511995</v>
      </c>
      <c r="AE36" s="35" t="n">
        <f aca="false">K36*$C$20+L36*$D$20+M36*$E$20+N36*$F$20+O36*$G$20</f>
        <v>1544.851812</v>
      </c>
      <c r="AF36" s="35" t="n">
        <f aca="false">K36*$C$21+L36*$D$21+M36*$E$21+N36*$F$21+O36*$G$21</f>
        <v>102990.1208</v>
      </c>
      <c r="AG36" s="35" t="n">
        <f aca="false">K36*$C$22+L36*$D$22+M36*$E$22+N36*$F$22+O36*$G$22</f>
        <v>62.073057088</v>
      </c>
      <c r="AH36" s="37" t="n">
        <f aca="false">P36/Assumptions!$C$76</f>
        <v>0.014</v>
      </c>
      <c r="AI36" s="37" t="n">
        <f aca="false">P36/Assumptions!$C$77</f>
        <v>0.014</v>
      </c>
      <c r="AJ36" s="37" t="n">
        <f aca="false">P36/Assumptions!$C$78</f>
        <v>0.116666666666667</v>
      </c>
      <c r="AK36" s="37" t="n">
        <f aca="false">H36/(Assumptions!$C$19/12)</f>
        <v>0</v>
      </c>
      <c r="AL36" s="37" t="n">
        <f aca="false">Assumptions!C$92</f>
        <v>0</v>
      </c>
      <c r="AM36" s="37" t="n">
        <f aca="false">Assumptions!C$93</f>
        <v>0</v>
      </c>
      <c r="AN36" s="37" t="n">
        <f aca="false">Assumptions!C$94</f>
        <v>0</v>
      </c>
      <c r="AO36" s="37" t="n">
        <f aca="false">SUM(AH36:AN36)</f>
        <v>0.144666666666667</v>
      </c>
      <c r="AP36" s="39" t="n">
        <f aca="false">AH36*Assumptions!$C$85*(1+Assumptions!$C$73)*(1+Assumptions!$C$74)^0/12</f>
        <v>102.083333333333</v>
      </c>
      <c r="AQ36" s="39" t="n">
        <f aca="false">AI36*Assumptions!$C$86*(1+Assumptions!$C$73)*(1+Assumptions!$C$74)^0/12</f>
        <v>94.7916666666667</v>
      </c>
      <c r="AR36" s="39" t="n">
        <f aca="false">AJ36*Assumptions!$C$87*(1+Assumptions!$C$73)*(1+Assumptions!$C$74)^0/12</f>
        <v>668.402777777778</v>
      </c>
      <c r="AS36" s="39" t="n">
        <f aca="false">AK36*Assumptions!$C$85*(1+Assumptions!$C$73)*(1+Assumptions!$C$74)^0/12</f>
        <v>0</v>
      </c>
      <c r="AT36" s="39" t="n">
        <f aca="false">AL36*Assumptions!$C$83*(1+Assumptions!$C$73)*(1+Assumptions!$C$74)^0/12</f>
        <v>0</v>
      </c>
      <c r="AU36" s="39" t="n">
        <f aca="false">AM36*Assumptions!$C$84*(1+Assumptions!$C$73)*(1+Assumptions!$C$74)^0/12</f>
        <v>0</v>
      </c>
      <c r="AV36" s="39" t="n">
        <f aca="false">AN36*Assumptions!$C$88*(1+Assumptions!$C$73)*(1+Assumptions!$C$74)^0/12</f>
        <v>0</v>
      </c>
      <c r="AW36" s="39" t="n">
        <f aca="false">SUM(AP36:AV36)</f>
        <v>865.277777777778</v>
      </c>
      <c r="AX36" s="39" t="n">
        <f aca="false">MIN(Assumptions!$C$80*W35,MAX(0,BS35+BC35))</f>
        <v>0</v>
      </c>
      <c r="AY36" s="39" t="n">
        <f aca="false">IF(SUM(AH36:AK36)&lt;=0,0,MIN(AX36,SUM(AP36:AS36)*MAX(0,1-Assumptions!$C$79/SUM(AH36:AK36))))</f>
        <v>0</v>
      </c>
      <c r="AZ36" s="36" t="n">
        <f aca="false">IF(SUM(AP36:AS36)=0,0,AY36/SUM(AP36:AS36))</f>
        <v>0</v>
      </c>
      <c r="BA36" s="39" t="n">
        <f aca="false">MIN(AX36-AY36,SUM(AT36:AV36))</f>
        <v>0</v>
      </c>
      <c r="BB36" s="36" t="n">
        <f aca="false">IF(SUM(AT36:AV36)=0,0,BA36/SUM(AT36:AV36))</f>
        <v>0</v>
      </c>
      <c r="BC36" s="39" t="n">
        <f aca="false">AY36+BA36</f>
        <v>0</v>
      </c>
      <c r="BD36" s="37" t="n">
        <f aca="false">SUM(AH36:AK36)*AZ36+SUM(AL36:AN36)*BB36</f>
        <v>0</v>
      </c>
      <c r="BE36" s="37" t="n">
        <f aca="false">MAX(0,SUM(AH36:AK36)*(1-AZ36)-Assumptions!$C$79)</f>
        <v>0</v>
      </c>
      <c r="BF36" s="39" t="n">
        <f aca="false">AP36*AZ36</f>
        <v>0</v>
      </c>
      <c r="BG36" s="39" t="n">
        <f aca="false">AQ36*AZ36</f>
        <v>0</v>
      </c>
      <c r="BH36" s="39" t="n">
        <f aca="false">AR36*AZ36</f>
        <v>0</v>
      </c>
      <c r="BI36" s="39" t="n">
        <f aca="false">AS36*AZ36</f>
        <v>0</v>
      </c>
      <c r="BJ36" s="39" t="n">
        <f aca="false">AT36*BB36</f>
        <v>0</v>
      </c>
      <c r="BK36" s="39" t="n">
        <f aca="false">AU36*BB36</f>
        <v>0</v>
      </c>
      <c r="BL36" s="39" t="n">
        <f aca="false">AV36*BB36</f>
        <v>0</v>
      </c>
      <c r="BM36" s="39" t="n">
        <f aca="false">H36*(Assumptions!$C$68+Assumptions!$C$66)*Assumptions!$F$10</f>
        <v>0</v>
      </c>
      <c r="BN36" s="39" t="n">
        <f aca="false">K36*$C$19+L36*$D$19+M36*$E$19+N36*$F$19+O36*$G$19</f>
        <v>0</v>
      </c>
      <c r="BO36" s="39" t="n">
        <f aca="false">Assumptions!$C$99*W36</f>
        <v>26.84340515864</v>
      </c>
      <c r="BP36" s="39" t="n">
        <f aca="false">Assumptions!C$98/12+P36*Assumptions!$C$101/12</f>
        <v>241.666666666667</v>
      </c>
      <c r="BQ36" s="39" t="n">
        <f aca="false">BD36*Assumptions!$C$102/12+Assumptions!$C$100</f>
        <v>100</v>
      </c>
      <c r="BR36" s="39" t="n">
        <f aca="false">SUM(BF36:BQ36)</f>
        <v>368.510071825307</v>
      </c>
      <c r="BS36" s="39" t="n">
        <f aca="false">W36-AD36-BR36</f>
        <v>127.942574594699</v>
      </c>
      <c r="BT36" s="39" t="n">
        <f aca="false">MAX(0,BD36-BD35)*Assumptions!$C$103</f>
        <v>0</v>
      </c>
      <c r="BU36" s="39" t="n">
        <f aca="false">0</f>
        <v>0</v>
      </c>
      <c r="BV36" s="39" t="n">
        <f aca="false">-(W36-W35)*12*Assumptions!$C$108</f>
        <v>-96.62562868896</v>
      </c>
      <c r="BW36" s="39" t="n">
        <f aca="false">0</f>
        <v>0</v>
      </c>
      <c r="BX36" s="39" t="n">
        <f aca="false">BS36-BT36+BU36+BV36+BW36</f>
        <v>31.3169459057388</v>
      </c>
      <c r="BY36" s="29" t="n">
        <f aca="false">BY35+BX36</f>
        <v>929.381430928576</v>
      </c>
    </row>
    <row r="37" customFormat="false" ht="15" hidden="false" customHeight="false" outlineLevel="0" collapsed="false">
      <c r="A37" s="45" t="n">
        <v>7</v>
      </c>
      <c r="B37" s="45" t="n">
        <v>2027</v>
      </c>
      <c r="C37" s="45" t="n">
        <v>0</v>
      </c>
      <c r="D37" s="35" t="n">
        <f aca="false">ROUND(Assumptions!C$18*Assumptions!$F$7/12,0)</f>
        <v>250</v>
      </c>
      <c r="E37" s="35" t="n">
        <f aca="false">Rollout!$C$10-I36</f>
        <v>8419</v>
      </c>
      <c r="F37" s="39" t="n">
        <f aca="false">H37*$C$26+H36*$D$26+H35*$E$26+H34*$F$26+H33*$G$26+H32*$H$26+H31*$I$26</f>
        <v>0</v>
      </c>
      <c r="G37" s="39" t="n">
        <f aca="false">BY36-Assumptions!$C$110-F36-Assumptions!$C$111*(Assumptions!$C$100+Assumptions!C$98/12+BC36)</f>
        <v>-970.618569071424</v>
      </c>
      <c r="H37" s="35" t="n">
        <f aca="false">IF(BE36&gt;0,0,MAX(0,MIN(D37,E37,INT(G37/$C$27))))</f>
        <v>0</v>
      </c>
      <c r="I37" s="35" t="n">
        <f aca="false">I36+H37</f>
        <v>14</v>
      </c>
      <c r="J37" s="35" t="n">
        <f aca="false">SUM(H31:H37)</f>
        <v>14</v>
      </c>
      <c r="K37" s="35" t="n">
        <f aca="false">H37*$C$23+H36*$D$23+H35*$E$23+H34*$F$23+H33*$G$23+H32*$H$23+H31*$I$23</f>
        <v>15.2726</v>
      </c>
      <c r="L37" s="35" t="n">
        <f aca="false">0</f>
        <v>0</v>
      </c>
      <c r="M37" s="35" t="n">
        <f aca="false">0</f>
        <v>0</v>
      </c>
      <c r="N37" s="35" t="n">
        <f aca="false">0</f>
        <v>0</v>
      </c>
      <c r="O37" s="35" t="n">
        <f aca="false">0</f>
        <v>0</v>
      </c>
      <c r="P37" s="35" t="n">
        <f aca="false">J37*$C$6+L37*$D$6+M37*$E$6+N37*$F$6+O37*$G$6</f>
        <v>14</v>
      </c>
      <c r="Q37" s="39" t="n">
        <f aca="false">K37*$C$7+L37*$D$7+M37*$E$7+N37*$F$7+O37*$G$7</f>
        <v>747.5021344</v>
      </c>
      <c r="R37" s="39" t="n">
        <f aca="false">K37*$C$8+L37*$D$8+M37*$E$8+N37*$F$8+O37*$G$8</f>
        <v>403.313933568</v>
      </c>
      <c r="S37" s="39" t="n">
        <f aca="false">K37*$C$9+L37*$D$9+M37*$E$9+N37*$F$9+O37*$G$9</f>
        <v>0</v>
      </c>
      <c r="T37" s="39" t="n">
        <f aca="false">K37*$C$10+L37*$D$10+M37*$E$10+N37*$F$10+O37*$G$10</f>
        <v>139.0341141</v>
      </c>
      <c r="U37" s="39" t="n">
        <f aca="false">K37*$C$11+L37*$D$11+M37*$E$11+N37*$F$11+O37*$G$11</f>
        <v>320.7246</v>
      </c>
      <c r="V37" s="39" t="n">
        <f aca="false">K37*$C$12+L37*$D$12+M37*$E$12+N37*$F$12+O37*$G$12</f>
        <v>0</v>
      </c>
      <c r="W37" s="39" t="n">
        <f aca="false">SUM(Q37:V37)</f>
        <v>1610.574782068</v>
      </c>
      <c r="X37" s="39" t="n">
        <f aca="false">J37*$C$14+L37*$D$14+M37*$E$14+N37*$F$14+O37*$G$14</f>
        <v>445.421666666667</v>
      </c>
      <c r="Y37" s="39" t="n">
        <f aca="false">J37*$C$15+L37*$D$15+M37*$E$15+N37*$F$15+O37*$G$15</f>
        <v>350</v>
      </c>
      <c r="Z37" s="39" t="n">
        <f aca="false">K37*$C$16+L37*$D$16+M37*$E$16+N37*$F$16+O37*$G$16</f>
        <v>4.63447047</v>
      </c>
      <c r="AA37" s="39" t="n">
        <f aca="false">K37*$C$17+L37*$D$17+M37*$E$17+N37*$F$17+O37*$G$17</f>
        <v>55.719556844672</v>
      </c>
      <c r="AB37" s="39" t="n">
        <f aca="false">J37*$C$18+L37*$D$18+M37*$E$18+N37*$F$18+O37*$G$18</f>
        <v>0</v>
      </c>
      <c r="AC37" s="39" t="n">
        <f aca="false">H37*Assumptions!$C$67*Assumptions!$F$10</f>
        <v>0</v>
      </c>
      <c r="AD37" s="39" t="n">
        <f aca="false">SUM(X37:AC37)</f>
        <v>855.775693981339</v>
      </c>
      <c r="AE37" s="35" t="n">
        <f aca="false">K37*$C$20+L37*$D$20+M37*$E$20+N37*$F$20+O37*$G$20</f>
        <v>1853.788188</v>
      </c>
      <c r="AF37" s="35" t="n">
        <f aca="false">K37*$C$21+L37*$D$21+M37*$E$21+N37*$F$21+O37*$G$21</f>
        <v>123585.8792</v>
      </c>
      <c r="AG37" s="35" t="n">
        <f aca="false">K37*$C$22+L37*$D$22+M37*$E$22+N37*$F$22+O37*$G$22</f>
        <v>74.486302912</v>
      </c>
      <c r="AH37" s="37" t="n">
        <f aca="false">P37/Assumptions!$C$76</f>
        <v>0.014</v>
      </c>
      <c r="AI37" s="37" t="n">
        <f aca="false">P37/Assumptions!$C$77</f>
        <v>0.014</v>
      </c>
      <c r="AJ37" s="37" t="n">
        <f aca="false">P37/Assumptions!$C$78</f>
        <v>0.116666666666667</v>
      </c>
      <c r="AK37" s="37" t="n">
        <f aca="false">H37/(Assumptions!$C$19/12)</f>
        <v>0</v>
      </c>
      <c r="AL37" s="37" t="n">
        <f aca="false">Assumptions!C$92</f>
        <v>0</v>
      </c>
      <c r="AM37" s="37" t="n">
        <f aca="false">Assumptions!C$93</f>
        <v>0</v>
      </c>
      <c r="AN37" s="37" t="n">
        <f aca="false">Assumptions!C$94</f>
        <v>0</v>
      </c>
      <c r="AO37" s="37" t="n">
        <f aca="false">SUM(AH37:AN37)</f>
        <v>0.144666666666667</v>
      </c>
      <c r="AP37" s="39" t="n">
        <f aca="false">AH37*Assumptions!$C$85*(1+Assumptions!$C$73)*(1+Assumptions!$C$74)^0/12</f>
        <v>102.083333333333</v>
      </c>
      <c r="AQ37" s="39" t="n">
        <f aca="false">AI37*Assumptions!$C$86*(1+Assumptions!$C$73)*(1+Assumptions!$C$74)^0/12</f>
        <v>94.7916666666667</v>
      </c>
      <c r="AR37" s="39" t="n">
        <f aca="false">AJ37*Assumptions!$C$87*(1+Assumptions!$C$73)*(1+Assumptions!$C$74)^0/12</f>
        <v>668.402777777778</v>
      </c>
      <c r="AS37" s="39" t="n">
        <f aca="false">AK37*Assumptions!$C$85*(1+Assumptions!$C$73)*(1+Assumptions!$C$74)^0/12</f>
        <v>0</v>
      </c>
      <c r="AT37" s="39" t="n">
        <f aca="false">AL37*Assumptions!$C$83*(1+Assumptions!$C$73)*(1+Assumptions!$C$74)^0/12</f>
        <v>0</v>
      </c>
      <c r="AU37" s="39" t="n">
        <f aca="false">AM37*Assumptions!$C$84*(1+Assumptions!$C$73)*(1+Assumptions!$C$74)^0/12</f>
        <v>0</v>
      </c>
      <c r="AV37" s="39" t="n">
        <f aca="false">AN37*Assumptions!$C$88*(1+Assumptions!$C$73)*(1+Assumptions!$C$74)^0/12</f>
        <v>0</v>
      </c>
      <c r="AW37" s="39" t="n">
        <f aca="false">SUM(AP37:AV37)</f>
        <v>865.277777777778</v>
      </c>
      <c r="AX37" s="39" t="n">
        <f aca="false">MIN(Assumptions!$C$80*W36,MAX(0,BS36+BC36))</f>
        <v>127.942574594699</v>
      </c>
      <c r="AY37" s="39" t="n">
        <f aca="false">IF(SUM(AH37:AK37)&lt;=0,0,MIN(AX37,SUM(AP37:AS37)*MAX(0,1-Assumptions!$C$79/SUM(AH37:AK37))))</f>
        <v>0</v>
      </c>
      <c r="AZ37" s="36" t="n">
        <f aca="false">IF(SUM(AP37:AS37)=0,0,AY37/SUM(AP37:AS37))</f>
        <v>0</v>
      </c>
      <c r="BA37" s="39" t="n">
        <f aca="false">MIN(AX37-AY37,SUM(AT37:AV37))</f>
        <v>0</v>
      </c>
      <c r="BB37" s="36" t="n">
        <f aca="false">IF(SUM(AT37:AV37)=0,0,BA37/SUM(AT37:AV37))</f>
        <v>0</v>
      </c>
      <c r="BC37" s="39" t="n">
        <f aca="false">AY37+BA37</f>
        <v>0</v>
      </c>
      <c r="BD37" s="37" t="n">
        <f aca="false">SUM(AH37:AK37)*AZ37+SUM(AL37:AN37)*BB37</f>
        <v>0</v>
      </c>
      <c r="BE37" s="37" t="n">
        <f aca="false">MAX(0,SUM(AH37:AK37)*(1-AZ37)-Assumptions!$C$79)</f>
        <v>0</v>
      </c>
      <c r="BF37" s="39" t="n">
        <f aca="false">AP37*AZ37</f>
        <v>0</v>
      </c>
      <c r="BG37" s="39" t="n">
        <f aca="false">AQ37*AZ37</f>
        <v>0</v>
      </c>
      <c r="BH37" s="39" t="n">
        <f aca="false">AR37*AZ37</f>
        <v>0</v>
      </c>
      <c r="BI37" s="39" t="n">
        <f aca="false">AS37*AZ37</f>
        <v>0</v>
      </c>
      <c r="BJ37" s="39" t="n">
        <f aca="false">AT37*BB37</f>
        <v>0</v>
      </c>
      <c r="BK37" s="39" t="n">
        <f aca="false">AU37*BB37</f>
        <v>0</v>
      </c>
      <c r="BL37" s="39" t="n">
        <f aca="false">AV37*BB37</f>
        <v>0</v>
      </c>
      <c r="BM37" s="39" t="n">
        <f aca="false">H37*(Assumptions!$C$68+Assumptions!$C$66)*Assumptions!$F$10</f>
        <v>0</v>
      </c>
      <c r="BN37" s="39" t="n">
        <f aca="false">K37*$C$19+L37*$D$19+M37*$E$19+N37*$F$19+O37*$G$19</f>
        <v>0</v>
      </c>
      <c r="BO37" s="39" t="n">
        <f aca="false">Assumptions!$C$99*W37</f>
        <v>32.21149564136</v>
      </c>
      <c r="BP37" s="39" t="n">
        <f aca="false">Assumptions!C$98/12+P37*Assumptions!$C$101/12</f>
        <v>241.666666666667</v>
      </c>
      <c r="BQ37" s="39" t="n">
        <f aca="false">BD37*Assumptions!$C$102/12+Assumptions!$C$100</f>
        <v>100</v>
      </c>
      <c r="BR37" s="39" t="n">
        <f aca="false">SUM(BF37:BQ37)</f>
        <v>373.878162308027</v>
      </c>
      <c r="BS37" s="39" t="n">
        <f aca="false">W37-AD37-BR37</f>
        <v>380.920925778635</v>
      </c>
      <c r="BT37" s="39" t="n">
        <f aca="false">MAX(0,BD37-BD36)*Assumptions!$C$103</f>
        <v>0</v>
      </c>
      <c r="BU37" s="39" t="n">
        <f aca="false">0</f>
        <v>0</v>
      </c>
      <c r="BV37" s="39" t="n">
        <f aca="false">-(W37-W36)*12*Assumptions!$C$108</f>
        <v>-96.6256286889601</v>
      </c>
      <c r="BW37" s="39" t="n">
        <f aca="false">0</f>
        <v>0</v>
      </c>
      <c r="BX37" s="39" t="n">
        <f aca="false">BS37-BT37+BU37+BV37+BW37</f>
        <v>284.295297089675</v>
      </c>
      <c r="BY37" s="29" t="n">
        <f aca="false">BY36+BX37</f>
        <v>1213.67672801825</v>
      </c>
    </row>
    <row r="38" customFormat="false" ht="15" hidden="false" customHeight="false" outlineLevel="0" collapsed="false">
      <c r="A38" s="45" t="n">
        <v>8</v>
      </c>
      <c r="B38" s="45" t="n">
        <v>2027</v>
      </c>
      <c r="C38" s="45" t="n">
        <v>0</v>
      </c>
      <c r="D38" s="35" t="n">
        <f aca="false">ROUND(Assumptions!C$18*Assumptions!$F$7/12,0)</f>
        <v>250</v>
      </c>
      <c r="E38" s="35" t="n">
        <f aca="false">Rollout!$C$10-I37</f>
        <v>8419</v>
      </c>
      <c r="F38" s="39" t="n">
        <f aca="false">H38*$C$26+H37*$D$26+H36*$E$26+H35*$F$26+H34*$G$26+H33*$H$26+H32*$I$26+H31*$J$26</f>
        <v>0</v>
      </c>
      <c r="G38" s="39" t="n">
        <f aca="false">BY37-Assumptions!$C$110-F37-Assumptions!$C$111*(Assumptions!$C$100+Assumptions!C$98/12+BC37)</f>
        <v>-686.323271981749</v>
      </c>
      <c r="H38" s="35" t="n">
        <f aca="false">IF(BE37&gt;0,0,MAX(0,MIN(D38,E38,INT(G38/$C$27))))</f>
        <v>0</v>
      </c>
      <c r="I38" s="35" t="n">
        <f aca="false">I37+H38</f>
        <v>14</v>
      </c>
      <c r="J38" s="35" t="n">
        <f aca="false">SUM(H31:H38)</f>
        <v>14</v>
      </c>
      <c r="K38" s="35" t="n">
        <f aca="false">H38*$C$23+H37*$D$23+H36*$E$23+H35*$F$23+H34*$G$23+H33*$H$23+H32*$I$23+H31*$J$23</f>
        <v>17.8178</v>
      </c>
      <c r="L38" s="35" t="n">
        <f aca="false">0</f>
        <v>0</v>
      </c>
      <c r="M38" s="35" t="n">
        <f aca="false">0</f>
        <v>0</v>
      </c>
      <c r="N38" s="35" t="n">
        <f aca="false">0</f>
        <v>0</v>
      </c>
      <c r="O38" s="35" t="n">
        <f aca="false">0</f>
        <v>0</v>
      </c>
      <c r="P38" s="35" t="n">
        <f aca="false">J38*$C$6+L38*$D$6+M38*$E$6+N38*$F$6+O38*$G$6</f>
        <v>14</v>
      </c>
      <c r="Q38" s="39" t="n">
        <f aca="false">K38*$C$7+L38*$D$7+M38*$E$7+N38*$F$7+O38*$G$7</f>
        <v>872.0744032</v>
      </c>
      <c r="R38" s="39" t="n">
        <f aca="false">K38*$C$8+L38*$D$8+M38*$E$8+N38*$F$8+O38*$G$8</f>
        <v>470.526760704</v>
      </c>
      <c r="S38" s="39" t="n">
        <f aca="false">K38*$C$9+L38*$D$9+M38*$E$9+N38*$F$9+O38*$G$9</f>
        <v>0</v>
      </c>
      <c r="T38" s="39" t="n">
        <f aca="false">K38*$C$10+L38*$D$10+M38*$E$10+N38*$F$10+O38*$G$10</f>
        <v>162.2043423</v>
      </c>
      <c r="U38" s="39" t="n">
        <f aca="false">K38*$C$11+L38*$D$11+M38*$E$11+N38*$F$11+O38*$G$11</f>
        <v>374.1738</v>
      </c>
      <c r="V38" s="39" t="n">
        <f aca="false">K38*$C$12+L38*$D$12+M38*$E$12+N38*$F$12+O38*$G$12</f>
        <v>0</v>
      </c>
      <c r="W38" s="39" t="n">
        <f aca="false">SUM(Q38:V38)</f>
        <v>1878.979306204</v>
      </c>
      <c r="X38" s="39" t="n">
        <f aca="false">J38*$C$14+L38*$D$14+M38*$E$14+N38*$F$14+O38*$G$14</f>
        <v>445.421666666667</v>
      </c>
      <c r="Y38" s="39" t="n">
        <f aca="false">J38*$C$15+L38*$D$15+M38*$E$15+N38*$F$15+O38*$G$15</f>
        <v>350</v>
      </c>
      <c r="Z38" s="39" t="n">
        <f aca="false">K38*$C$16+L38*$D$16+M38*$E$16+N38*$F$16+O38*$G$16</f>
        <v>5.40681141</v>
      </c>
      <c r="AA38" s="39" t="n">
        <f aca="false">K38*$C$17+L38*$D$17+M38*$E$17+N38*$F$17+O38*$G$17</f>
        <v>65.005298374016</v>
      </c>
      <c r="AB38" s="39" t="n">
        <f aca="false">J38*$C$18+L38*$D$18+M38*$E$18+N38*$F$18+O38*$G$18</f>
        <v>0</v>
      </c>
      <c r="AC38" s="39" t="n">
        <f aca="false">H38*Assumptions!$C$67*Assumptions!$F$10</f>
        <v>0</v>
      </c>
      <c r="AD38" s="39" t="n">
        <f aca="false">SUM(X38:AC38)</f>
        <v>865.833776450683</v>
      </c>
      <c r="AE38" s="35" t="n">
        <f aca="false">K38*$C$20+L38*$D$20+M38*$E$20+N38*$F$20+O38*$G$20</f>
        <v>2162.724564</v>
      </c>
      <c r="AF38" s="35" t="n">
        <f aca="false">K38*$C$21+L38*$D$21+M38*$E$21+N38*$F$21+O38*$G$21</f>
        <v>144181.6376</v>
      </c>
      <c r="AG38" s="35" t="n">
        <f aca="false">K38*$C$22+L38*$D$22+M38*$E$22+N38*$F$22+O38*$G$22</f>
        <v>86.899548736</v>
      </c>
      <c r="AH38" s="37" t="n">
        <f aca="false">P38/Assumptions!$C$76</f>
        <v>0.014</v>
      </c>
      <c r="AI38" s="37" t="n">
        <f aca="false">P38/Assumptions!$C$77</f>
        <v>0.014</v>
      </c>
      <c r="AJ38" s="37" t="n">
        <f aca="false">P38/Assumptions!$C$78</f>
        <v>0.116666666666667</v>
      </c>
      <c r="AK38" s="37" t="n">
        <f aca="false">H38/(Assumptions!$C$19/12)</f>
        <v>0</v>
      </c>
      <c r="AL38" s="37" t="n">
        <f aca="false">Assumptions!C$92</f>
        <v>0</v>
      </c>
      <c r="AM38" s="37" t="n">
        <f aca="false">Assumptions!C$93</f>
        <v>0</v>
      </c>
      <c r="AN38" s="37" t="n">
        <f aca="false">Assumptions!C$94</f>
        <v>0</v>
      </c>
      <c r="AO38" s="37" t="n">
        <f aca="false">SUM(AH38:AN38)</f>
        <v>0.144666666666667</v>
      </c>
      <c r="AP38" s="39" t="n">
        <f aca="false">AH38*Assumptions!$C$85*(1+Assumptions!$C$73)*(1+Assumptions!$C$74)^0/12</f>
        <v>102.083333333333</v>
      </c>
      <c r="AQ38" s="39" t="n">
        <f aca="false">AI38*Assumptions!$C$86*(1+Assumptions!$C$73)*(1+Assumptions!$C$74)^0/12</f>
        <v>94.7916666666667</v>
      </c>
      <c r="AR38" s="39" t="n">
        <f aca="false">AJ38*Assumptions!$C$87*(1+Assumptions!$C$73)*(1+Assumptions!$C$74)^0/12</f>
        <v>668.402777777778</v>
      </c>
      <c r="AS38" s="39" t="n">
        <f aca="false">AK38*Assumptions!$C$85*(1+Assumptions!$C$73)*(1+Assumptions!$C$74)^0/12</f>
        <v>0</v>
      </c>
      <c r="AT38" s="39" t="n">
        <f aca="false">AL38*Assumptions!$C$83*(1+Assumptions!$C$73)*(1+Assumptions!$C$74)^0/12</f>
        <v>0</v>
      </c>
      <c r="AU38" s="39" t="n">
        <f aca="false">AM38*Assumptions!$C$84*(1+Assumptions!$C$73)*(1+Assumptions!$C$74)^0/12</f>
        <v>0</v>
      </c>
      <c r="AV38" s="39" t="n">
        <f aca="false">AN38*Assumptions!$C$88*(1+Assumptions!$C$73)*(1+Assumptions!$C$74)^0/12</f>
        <v>0</v>
      </c>
      <c r="AW38" s="39" t="n">
        <f aca="false">SUM(AP38:AV38)</f>
        <v>865.277777777778</v>
      </c>
      <c r="AX38" s="39" t="n">
        <f aca="false">MIN(Assumptions!$C$80*W37,MAX(0,BS37+BC37))</f>
        <v>380.920925778635</v>
      </c>
      <c r="AY38" s="39" t="n">
        <f aca="false">IF(SUM(AH38:AK38)&lt;=0,0,MIN(AX38,SUM(AP38:AS38)*MAX(0,1-Assumptions!$C$79/SUM(AH38:AK38))))</f>
        <v>0</v>
      </c>
      <c r="AZ38" s="36" t="n">
        <f aca="false">IF(SUM(AP38:AS38)=0,0,AY38/SUM(AP38:AS38))</f>
        <v>0</v>
      </c>
      <c r="BA38" s="39" t="n">
        <f aca="false">MIN(AX38-AY38,SUM(AT38:AV38))</f>
        <v>0</v>
      </c>
      <c r="BB38" s="36" t="n">
        <f aca="false">IF(SUM(AT38:AV38)=0,0,BA38/SUM(AT38:AV38))</f>
        <v>0</v>
      </c>
      <c r="BC38" s="39" t="n">
        <f aca="false">AY38+BA38</f>
        <v>0</v>
      </c>
      <c r="BD38" s="37" t="n">
        <f aca="false">SUM(AH38:AK38)*AZ38+SUM(AL38:AN38)*BB38</f>
        <v>0</v>
      </c>
      <c r="BE38" s="37" t="n">
        <f aca="false">MAX(0,SUM(AH38:AK38)*(1-AZ38)-Assumptions!$C$79)</f>
        <v>0</v>
      </c>
      <c r="BF38" s="39" t="n">
        <f aca="false">AP38*AZ38</f>
        <v>0</v>
      </c>
      <c r="BG38" s="39" t="n">
        <f aca="false">AQ38*AZ38</f>
        <v>0</v>
      </c>
      <c r="BH38" s="39" t="n">
        <f aca="false">AR38*AZ38</f>
        <v>0</v>
      </c>
      <c r="BI38" s="39" t="n">
        <f aca="false">AS38*AZ38</f>
        <v>0</v>
      </c>
      <c r="BJ38" s="39" t="n">
        <f aca="false">AT38*BB38</f>
        <v>0</v>
      </c>
      <c r="BK38" s="39" t="n">
        <f aca="false">AU38*BB38</f>
        <v>0</v>
      </c>
      <c r="BL38" s="39" t="n">
        <f aca="false">AV38*BB38</f>
        <v>0</v>
      </c>
      <c r="BM38" s="39" t="n">
        <f aca="false">H38*(Assumptions!$C$68+Assumptions!$C$66)*Assumptions!$F$10</f>
        <v>0</v>
      </c>
      <c r="BN38" s="39" t="n">
        <f aca="false">K38*$C$19+L38*$D$19+M38*$E$19+N38*$F$19+O38*$G$19</f>
        <v>0</v>
      </c>
      <c r="BO38" s="39" t="n">
        <f aca="false">Assumptions!$C$99*W38</f>
        <v>37.57958612408</v>
      </c>
      <c r="BP38" s="39" t="n">
        <f aca="false">Assumptions!C$98/12+P38*Assumptions!$C$101/12</f>
        <v>241.666666666667</v>
      </c>
      <c r="BQ38" s="39" t="n">
        <f aca="false">BD38*Assumptions!$C$102/12+Assumptions!$C$100</f>
        <v>100</v>
      </c>
      <c r="BR38" s="39" t="n">
        <f aca="false">SUM(BF38:BQ38)</f>
        <v>379.246252790747</v>
      </c>
      <c r="BS38" s="39" t="n">
        <f aca="false">W38-AD38-BR38</f>
        <v>633.899276962571</v>
      </c>
      <c r="BT38" s="39" t="n">
        <f aca="false">MAX(0,BD38-BD37)*Assumptions!$C$103</f>
        <v>0</v>
      </c>
      <c r="BU38" s="39" t="n">
        <f aca="false">0</f>
        <v>0</v>
      </c>
      <c r="BV38" s="39" t="n">
        <f aca="false">-(W38-W37)*12*Assumptions!$C$108</f>
        <v>-96.62562868896</v>
      </c>
      <c r="BW38" s="39" t="n">
        <f aca="false">0</f>
        <v>0</v>
      </c>
      <c r="BX38" s="39" t="n">
        <f aca="false">BS38-BT38+BU38+BV38+BW38</f>
        <v>537.273648273611</v>
      </c>
      <c r="BY38" s="29" t="n">
        <f aca="false">BY37+BX38</f>
        <v>1750.95037629186</v>
      </c>
    </row>
    <row r="39" customFormat="false" ht="15" hidden="false" customHeight="false" outlineLevel="0" collapsed="false">
      <c r="A39" s="45" t="n">
        <v>9</v>
      </c>
      <c r="B39" s="45" t="n">
        <v>2027</v>
      </c>
      <c r="C39" s="45" t="n">
        <v>0</v>
      </c>
      <c r="D39" s="35" t="n">
        <f aca="false">ROUND(Assumptions!C$18*Assumptions!$F$7/12,0)</f>
        <v>250</v>
      </c>
      <c r="E39" s="35" t="n">
        <f aca="false">Rollout!$C$10-I38</f>
        <v>8419</v>
      </c>
      <c r="F39" s="39" t="n">
        <f aca="false">H39*$C$26+H38*$D$26+H37*$E$26+H36*$F$26+H35*$G$26+H34*$H$26+H33*$I$26+H32*$J$26+H31*$K$26</f>
        <v>0</v>
      </c>
      <c r="G39" s="39" t="n">
        <f aca="false">BY38-Assumptions!$C$110-F38-Assumptions!$C$111*(Assumptions!$C$100+Assumptions!C$98/12+BC38)</f>
        <v>-149.049623708138</v>
      </c>
      <c r="H39" s="35" t="n">
        <f aca="false">IF(BE38&gt;0,0,MAX(0,MIN(D39,E39,INT(G39/$C$27))))</f>
        <v>0</v>
      </c>
      <c r="I39" s="35" t="n">
        <f aca="false">I38+H39</f>
        <v>14</v>
      </c>
      <c r="J39" s="35" t="n">
        <f aca="false">SUM(H31:H39)</f>
        <v>14</v>
      </c>
      <c r="K39" s="35" t="n">
        <f aca="false">H39*$C$23+H38*$D$23+H37*$E$23+H36*$F$23+H35*$G$23+H34*$H$23+H33*$I$23+H32*$J$23+H31*$K$23</f>
        <v>20.363</v>
      </c>
      <c r="L39" s="35" t="n">
        <f aca="false">0</f>
        <v>0</v>
      </c>
      <c r="M39" s="35" t="n">
        <f aca="false">0</f>
        <v>0</v>
      </c>
      <c r="N39" s="35" t="n">
        <f aca="false">0</f>
        <v>0</v>
      </c>
      <c r="O39" s="35" t="n">
        <f aca="false">0</f>
        <v>0</v>
      </c>
      <c r="P39" s="35" t="n">
        <f aca="false">J39*$C$6+L39*$D$6+M39*$E$6+N39*$F$6+O39*$G$6</f>
        <v>14</v>
      </c>
      <c r="Q39" s="39" t="n">
        <f aca="false">K39*$C$7+L39*$D$7+M39*$E$7+N39*$F$7+O39*$G$7</f>
        <v>996.646672</v>
      </c>
      <c r="R39" s="39" t="n">
        <f aca="false">K39*$C$8+L39*$D$8+M39*$E$8+N39*$F$8+O39*$G$8</f>
        <v>537.73958784</v>
      </c>
      <c r="S39" s="39" t="n">
        <f aca="false">K39*$C$9+L39*$D$9+M39*$E$9+N39*$F$9+O39*$G$9</f>
        <v>0</v>
      </c>
      <c r="T39" s="39" t="n">
        <f aca="false">K39*$C$10+L39*$D$10+M39*$E$10+N39*$F$10+O39*$G$10</f>
        <v>185.3745705</v>
      </c>
      <c r="U39" s="39" t="n">
        <f aca="false">K39*$C$11+L39*$D$11+M39*$E$11+N39*$F$11+O39*$G$11</f>
        <v>427.623</v>
      </c>
      <c r="V39" s="39" t="n">
        <f aca="false">K39*$C$12+L39*$D$12+M39*$E$12+N39*$F$12+O39*$G$12</f>
        <v>0</v>
      </c>
      <c r="W39" s="39" t="n">
        <f aca="false">SUM(Q39:V39)</f>
        <v>2147.38383034</v>
      </c>
      <c r="X39" s="39" t="n">
        <f aca="false">J39*$C$14+L39*$D$14+M39*$E$14+N39*$F$14+O39*$G$14</f>
        <v>445.421666666667</v>
      </c>
      <c r="Y39" s="39" t="n">
        <f aca="false">J39*$C$15+L39*$D$15+M39*$E$15+N39*$F$15+O39*$G$15</f>
        <v>350</v>
      </c>
      <c r="Z39" s="39" t="n">
        <f aca="false">K39*$C$16+L39*$D$16+M39*$E$16+N39*$F$16+O39*$G$16</f>
        <v>6.17915235</v>
      </c>
      <c r="AA39" s="39" t="n">
        <f aca="false">K39*$C$17+L39*$D$17+M39*$E$17+N39*$F$17+O39*$G$17</f>
        <v>74.29103990336</v>
      </c>
      <c r="AB39" s="39" t="n">
        <f aca="false">J39*$C$18+L39*$D$18+M39*$E$18+N39*$F$18+O39*$G$18</f>
        <v>0</v>
      </c>
      <c r="AC39" s="39" t="n">
        <f aca="false">H39*Assumptions!$C$67*Assumptions!$F$10</f>
        <v>0</v>
      </c>
      <c r="AD39" s="39" t="n">
        <f aca="false">SUM(X39:AC39)</f>
        <v>875.891858920027</v>
      </c>
      <c r="AE39" s="35" t="n">
        <f aca="false">K39*$C$20+L39*$D$20+M39*$E$20+N39*$F$20+O39*$G$20</f>
        <v>2471.66094</v>
      </c>
      <c r="AF39" s="35" t="n">
        <f aca="false">K39*$C$21+L39*$D$21+M39*$E$21+N39*$F$21+O39*$G$21</f>
        <v>164777.396</v>
      </c>
      <c r="AG39" s="35" t="n">
        <f aca="false">K39*$C$22+L39*$D$22+M39*$E$22+N39*$F$22+O39*$G$22</f>
        <v>99.31279456</v>
      </c>
      <c r="AH39" s="37" t="n">
        <f aca="false">P39/Assumptions!$C$76</f>
        <v>0.014</v>
      </c>
      <c r="AI39" s="37" t="n">
        <f aca="false">P39/Assumptions!$C$77</f>
        <v>0.014</v>
      </c>
      <c r="AJ39" s="37" t="n">
        <f aca="false">P39/Assumptions!$C$78</f>
        <v>0.116666666666667</v>
      </c>
      <c r="AK39" s="37" t="n">
        <f aca="false">H39/(Assumptions!$C$19/12)</f>
        <v>0</v>
      </c>
      <c r="AL39" s="37" t="n">
        <f aca="false">Assumptions!C$92</f>
        <v>0</v>
      </c>
      <c r="AM39" s="37" t="n">
        <f aca="false">Assumptions!C$93</f>
        <v>0</v>
      </c>
      <c r="AN39" s="37" t="n">
        <f aca="false">Assumptions!C$94</f>
        <v>0</v>
      </c>
      <c r="AO39" s="37" t="n">
        <f aca="false">SUM(AH39:AN39)</f>
        <v>0.144666666666667</v>
      </c>
      <c r="AP39" s="39" t="n">
        <f aca="false">AH39*Assumptions!$C$85*(1+Assumptions!$C$73)*(1+Assumptions!$C$74)^0/12</f>
        <v>102.083333333333</v>
      </c>
      <c r="AQ39" s="39" t="n">
        <f aca="false">AI39*Assumptions!$C$86*(1+Assumptions!$C$73)*(1+Assumptions!$C$74)^0/12</f>
        <v>94.7916666666667</v>
      </c>
      <c r="AR39" s="39" t="n">
        <f aca="false">AJ39*Assumptions!$C$87*(1+Assumptions!$C$73)*(1+Assumptions!$C$74)^0/12</f>
        <v>668.402777777778</v>
      </c>
      <c r="AS39" s="39" t="n">
        <f aca="false">AK39*Assumptions!$C$85*(1+Assumptions!$C$73)*(1+Assumptions!$C$74)^0/12</f>
        <v>0</v>
      </c>
      <c r="AT39" s="39" t="n">
        <f aca="false">AL39*Assumptions!$C$83*(1+Assumptions!$C$73)*(1+Assumptions!$C$74)^0/12</f>
        <v>0</v>
      </c>
      <c r="AU39" s="39" t="n">
        <f aca="false">AM39*Assumptions!$C$84*(1+Assumptions!$C$73)*(1+Assumptions!$C$74)^0/12</f>
        <v>0</v>
      </c>
      <c r="AV39" s="39" t="n">
        <f aca="false">AN39*Assumptions!$C$88*(1+Assumptions!$C$73)*(1+Assumptions!$C$74)^0/12</f>
        <v>0</v>
      </c>
      <c r="AW39" s="39" t="n">
        <f aca="false">SUM(AP39:AV39)</f>
        <v>865.277777777778</v>
      </c>
      <c r="AX39" s="39" t="n">
        <f aca="false">MIN(Assumptions!$C$80*W38,MAX(0,BS38+BC38))</f>
        <v>633.899276962571</v>
      </c>
      <c r="AY39" s="39" t="n">
        <f aca="false">IF(SUM(AH39:AK39)&lt;=0,0,MIN(AX39,SUM(AP39:AS39)*MAX(0,1-Assumptions!$C$79/SUM(AH39:AK39))))</f>
        <v>0</v>
      </c>
      <c r="AZ39" s="36" t="n">
        <f aca="false">IF(SUM(AP39:AS39)=0,0,AY39/SUM(AP39:AS39))</f>
        <v>0</v>
      </c>
      <c r="BA39" s="39" t="n">
        <f aca="false">MIN(AX39-AY39,SUM(AT39:AV39))</f>
        <v>0</v>
      </c>
      <c r="BB39" s="36" t="n">
        <f aca="false">IF(SUM(AT39:AV39)=0,0,BA39/SUM(AT39:AV39))</f>
        <v>0</v>
      </c>
      <c r="BC39" s="39" t="n">
        <f aca="false">AY39+BA39</f>
        <v>0</v>
      </c>
      <c r="BD39" s="37" t="n">
        <f aca="false">SUM(AH39:AK39)*AZ39+SUM(AL39:AN39)*BB39</f>
        <v>0</v>
      </c>
      <c r="BE39" s="37" t="n">
        <f aca="false">MAX(0,SUM(AH39:AK39)*(1-AZ39)-Assumptions!$C$79)</f>
        <v>0</v>
      </c>
      <c r="BF39" s="39" t="n">
        <f aca="false">AP39*AZ39</f>
        <v>0</v>
      </c>
      <c r="BG39" s="39" t="n">
        <f aca="false">AQ39*AZ39</f>
        <v>0</v>
      </c>
      <c r="BH39" s="39" t="n">
        <f aca="false">AR39*AZ39</f>
        <v>0</v>
      </c>
      <c r="BI39" s="39" t="n">
        <f aca="false">AS39*AZ39</f>
        <v>0</v>
      </c>
      <c r="BJ39" s="39" t="n">
        <f aca="false">AT39*BB39</f>
        <v>0</v>
      </c>
      <c r="BK39" s="39" t="n">
        <f aca="false">AU39*BB39</f>
        <v>0</v>
      </c>
      <c r="BL39" s="39" t="n">
        <f aca="false">AV39*BB39</f>
        <v>0</v>
      </c>
      <c r="BM39" s="39" t="n">
        <f aca="false">H39*(Assumptions!$C$68+Assumptions!$C$66)*Assumptions!$F$10</f>
        <v>0</v>
      </c>
      <c r="BN39" s="39" t="n">
        <f aca="false">K39*$C$19+L39*$D$19+M39*$E$19+N39*$F$19+O39*$G$19</f>
        <v>0</v>
      </c>
      <c r="BO39" s="39" t="n">
        <f aca="false">Assumptions!$C$99*W39</f>
        <v>42.9476766068</v>
      </c>
      <c r="BP39" s="39" t="n">
        <f aca="false">Assumptions!C$98/12+P39*Assumptions!$C$101/12</f>
        <v>241.666666666667</v>
      </c>
      <c r="BQ39" s="39" t="n">
        <f aca="false">BD39*Assumptions!$C$102/12+Assumptions!$C$100</f>
        <v>100</v>
      </c>
      <c r="BR39" s="39" t="n">
        <f aca="false">SUM(BF39:BQ39)</f>
        <v>384.614343273467</v>
      </c>
      <c r="BS39" s="39" t="n">
        <f aca="false">W39-AD39-BR39</f>
        <v>886.877628146507</v>
      </c>
      <c r="BT39" s="39" t="n">
        <f aca="false">MAX(0,BD39-BD38)*Assumptions!$C$103</f>
        <v>0</v>
      </c>
      <c r="BU39" s="39" t="n">
        <f aca="false">0</f>
        <v>0</v>
      </c>
      <c r="BV39" s="39" t="n">
        <f aca="false">-(W39-W38)*12*Assumptions!$C$108</f>
        <v>-96.62562868896</v>
      </c>
      <c r="BW39" s="39" t="n">
        <f aca="false">0</f>
        <v>0</v>
      </c>
      <c r="BX39" s="39" t="n">
        <f aca="false">BS39-BT39+BU39+BV39+BW39</f>
        <v>790.251999457547</v>
      </c>
      <c r="BY39" s="29" t="n">
        <f aca="false">BY38+BX39</f>
        <v>2541.20237574941</v>
      </c>
    </row>
    <row r="40" customFormat="false" ht="15" hidden="false" customHeight="false" outlineLevel="0" collapsed="false">
      <c r="A40" s="45" t="n">
        <v>10</v>
      </c>
      <c r="B40" s="45" t="n">
        <v>2027</v>
      </c>
      <c r="C40" s="45" t="n">
        <v>0</v>
      </c>
      <c r="D40" s="35" t="n">
        <f aca="false">ROUND(Assumptions!C$18*Assumptions!$F$7/12,0)</f>
        <v>250</v>
      </c>
      <c r="E40" s="35" t="n">
        <f aca="false">Rollout!$C$10-I39</f>
        <v>8419</v>
      </c>
      <c r="F40" s="39" t="n">
        <f aca="false">H40*$C$26+H39*$D$26+H38*$E$26+H37*$F$26+H36*$G$26+H35*$H$26+H34*$I$26+H33*$J$26+H32*$K$26+H31*$L$26</f>
        <v>316.280203012344</v>
      </c>
      <c r="G40" s="39" t="n">
        <f aca="false">BY39-Assumptions!$C$110-F39-Assumptions!$C$111*(Assumptions!$C$100+Assumptions!C$98/12+BC39)</f>
        <v>641.202375749409</v>
      </c>
      <c r="H40" s="35" t="n">
        <f aca="false">IF(BE39&gt;0,0,MAX(0,MIN(D40,E40,INT(G40/$C$27))))</f>
        <v>3</v>
      </c>
      <c r="I40" s="35" t="n">
        <f aca="false">I39+H40</f>
        <v>17</v>
      </c>
      <c r="J40" s="35" t="n">
        <f aca="false">SUM(H31:H40)</f>
        <v>17</v>
      </c>
      <c r="K40" s="35" t="n">
        <f aca="false">H40*$C$23+H39*$D$23+H38*$E$23+H37*$F$23+H36*$G$23+H35*$H$23+H34*$I$23+H33*$J$23+H32*$K$23+H31*$L$23</f>
        <v>22.9096</v>
      </c>
      <c r="L40" s="35" t="n">
        <f aca="false">0</f>
        <v>0</v>
      </c>
      <c r="M40" s="35" t="n">
        <f aca="false">0</f>
        <v>0</v>
      </c>
      <c r="N40" s="35" t="n">
        <f aca="false">0</f>
        <v>0</v>
      </c>
      <c r="O40" s="35" t="n">
        <f aca="false">0</f>
        <v>0</v>
      </c>
      <c r="P40" s="35" t="n">
        <f aca="false">J40*$C$6+L40*$D$6+M40*$E$6+N40*$F$6+O40*$G$6</f>
        <v>17</v>
      </c>
      <c r="Q40" s="39" t="n">
        <f aca="false">K40*$C$7+L40*$D$7+M40*$E$7+N40*$F$7+O40*$G$7</f>
        <v>1121.2874624</v>
      </c>
      <c r="R40" s="39" t="n">
        <f aca="false">K40*$C$8+L40*$D$8+M40*$E$8+N40*$F$8+O40*$G$8</f>
        <v>604.989385728</v>
      </c>
      <c r="S40" s="39" t="n">
        <f aca="false">K40*$C$9+L40*$D$9+M40*$E$9+N40*$F$9+O40*$G$9</f>
        <v>0</v>
      </c>
      <c r="T40" s="39" t="n">
        <f aca="false">K40*$C$10+L40*$D$10+M40*$E$10+N40*$F$10+O40*$G$10</f>
        <v>208.5575436</v>
      </c>
      <c r="U40" s="39" t="n">
        <f aca="false">K40*$C$11+L40*$D$11+M40*$E$11+N40*$F$11+O40*$G$11</f>
        <v>481.1016</v>
      </c>
      <c r="V40" s="39" t="n">
        <f aca="false">K40*$C$12+L40*$D$12+M40*$E$12+N40*$F$12+O40*$G$12</f>
        <v>0</v>
      </c>
      <c r="W40" s="39" t="n">
        <f aca="false">SUM(Q40:V40)</f>
        <v>2415.935991728</v>
      </c>
      <c r="X40" s="39" t="n">
        <f aca="false">J40*$C$14+L40*$D$14+M40*$E$14+N40*$F$14+O40*$G$14</f>
        <v>540.869166666667</v>
      </c>
      <c r="Y40" s="39" t="n">
        <f aca="false">J40*$C$15+L40*$D$15+M40*$E$15+N40*$F$15+O40*$G$15</f>
        <v>425</v>
      </c>
      <c r="Z40" s="39" t="n">
        <f aca="false">K40*$C$16+L40*$D$16+M40*$E$16+N40*$F$16+O40*$G$16</f>
        <v>6.95191812</v>
      </c>
      <c r="AA40" s="39" t="n">
        <f aca="false">K40*$C$17+L40*$D$17+M40*$E$17+N40*$F$17+O40*$G$17</f>
        <v>83.581889101312</v>
      </c>
      <c r="AB40" s="39" t="n">
        <f aca="false">J40*$C$18+L40*$D$18+M40*$E$18+N40*$F$18+O40*$G$18</f>
        <v>0</v>
      </c>
      <c r="AC40" s="39" t="n">
        <f aca="false">H40*Assumptions!$C$67*Assumptions!$F$10</f>
        <v>45</v>
      </c>
      <c r="AD40" s="39" t="n">
        <f aca="false">SUM(X40:AC40)</f>
        <v>1101.40297388798</v>
      </c>
      <c r="AE40" s="35" t="n">
        <f aca="false">K40*$C$20+L40*$D$20+M40*$E$20+N40*$F$20+O40*$G$20</f>
        <v>2780.767248</v>
      </c>
      <c r="AF40" s="35" t="n">
        <f aca="false">K40*$C$21+L40*$D$21+M40*$E$21+N40*$F$21+O40*$G$21</f>
        <v>185384.4832</v>
      </c>
      <c r="AG40" s="35" t="n">
        <f aca="false">K40*$C$22+L40*$D$22+M40*$E$22+N40*$F$22+O40*$G$22</f>
        <v>111.732868352</v>
      </c>
      <c r="AH40" s="37" t="n">
        <f aca="false">P40/Assumptions!$C$76</f>
        <v>0.017</v>
      </c>
      <c r="AI40" s="37" t="n">
        <f aca="false">P40/Assumptions!$C$77</f>
        <v>0.017</v>
      </c>
      <c r="AJ40" s="37" t="n">
        <f aca="false">P40/Assumptions!$C$78</f>
        <v>0.141666666666667</v>
      </c>
      <c r="AK40" s="37" t="n">
        <f aca="false">H40/(Assumptions!$C$19/12)</f>
        <v>0.09</v>
      </c>
      <c r="AL40" s="37" t="n">
        <f aca="false">Assumptions!C$92</f>
        <v>0</v>
      </c>
      <c r="AM40" s="37" t="n">
        <f aca="false">Assumptions!C$93</f>
        <v>0</v>
      </c>
      <c r="AN40" s="37" t="n">
        <f aca="false">Assumptions!C$94</f>
        <v>0</v>
      </c>
      <c r="AO40" s="37" t="n">
        <f aca="false">SUM(AH40:AN40)</f>
        <v>0.265666666666667</v>
      </c>
      <c r="AP40" s="39" t="n">
        <f aca="false">AH40*Assumptions!$C$85*(1+Assumptions!$C$73)*(1+Assumptions!$C$74)^0/12</f>
        <v>123.958333333333</v>
      </c>
      <c r="AQ40" s="39" t="n">
        <f aca="false">AI40*Assumptions!$C$86*(1+Assumptions!$C$73)*(1+Assumptions!$C$74)^0/12</f>
        <v>115.104166666667</v>
      </c>
      <c r="AR40" s="39" t="n">
        <f aca="false">AJ40*Assumptions!$C$87*(1+Assumptions!$C$73)*(1+Assumptions!$C$74)^0/12</f>
        <v>811.631944444444</v>
      </c>
      <c r="AS40" s="39" t="n">
        <f aca="false">AK40*Assumptions!$C$85*(1+Assumptions!$C$73)*(1+Assumptions!$C$74)^0/12</f>
        <v>656.25</v>
      </c>
      <c r="AT40" s="39" t="n">
        <f aca="false">AL40*Assumptions!$C$83*(1+Assumptions!$C$73)*(1+Assumptions!$C$74)^0/12</f>
        <v>0</v>
      </c>
      <c r="AU40" s="39" t="n">
        <f aca="false">AM40*Assumptions!$C$84*(1+Assumptions!$C$73)*(1+Assumptions!$C$74)^0/12</f>
        <v>0</v>
      </c>
      <c r="AV40" s="39" t="n">
        <f aca="false">AN40*Assumptions!$C$88*(1+Assumptions!$C$73)*(1+Assumptions!$C$74)^0/12</f>
        <v>0</v>
      </c>
      <c r="AW40" s="39" t="n">
        <f aca="false">SUM(AP40:AV40)</f>
        <v>1706.94444444444</v>
      </c>
      <c r="AX40" s="39" t="n">
        <f aca="false">MIN(Assumptions!$C$80*W39,MAX(0,BS39+BC39))</f>
        <v>858.953532136</v>
      </c>
      <c r="AY40" s="39" t="n">
        <f aca="false">IF(SUM(AH40:AK40)&lt;=0,0,MIN(AX40,SUM(AP40:AS40)*MAX(0,1-Assumptions!$C$79/SUM(AH40:AK40))))</f>
        <v>0</v>
      </c>
      <c r="AZ40" s="36" t="n">
        <f aca="false">IF(SUM(AP40:AS40)=0,0,AY40/SUM(AP40:AS40))</f>
        <v>0</v>
      </c>
      <c r="BA40" s="39" t="n">
        <f aca="false">MIN(AX40-AY40,SUM(AT40:AV40))</f>
        <v>0</v>
      </c>
      <c r="BB40" s="36" t="n">
        <f aca="false">IF(SUM(AT40:AV40)=0,0,BA40/SUM(AT40:AV40))</f>
        <v>0</v>
      </c>
      <c r="BC40" s="39" t="n">
        <f aca="false">AY40+BA40</f>
        <v>0</v>
      </c>
      <c r="BD40" s="37" t="n">
        <f aca="false">SUM(AH40:AK40)*AZ40+SUM(AL40:AN40)*BB40</f>
        <v>0</v>
      </c>
      <c r="BE40" s="37" t="n">
        <f aca="false">MAX(0,SUM(AH40:AK40)*(1-AZ40)-Assumptions!$C$79)</f>
        <v>0</v>
      </c>
      <c r="BF40" s="39" t="n">
        <f aca="false">AP40*AZ40</f>
        <v>0</v>
      </c>
      <c r="BG40" s="39" t="n">
        <f aca="false">AQ40*AZ40</f>
        <v>0</v>
      </c>
      <c r="BH40" s="39" t="n">
        <f aca="false">AR40*AZ40</f>
        <v>0</v>
      </c>
      <c r="BI40" s="39" t="n">
        <f aca="false">AS40*AZ40</f>
        <v>0</v>
      </c>
      <c r="BJ40" s="39" t="n">
        <f aca="false">AT40*BB40</f>
        <v>0</v>
      </c>
      <c r="BK40" s="39" t="n">
        <f aca="false">AU40*BB40</f>
        <v>0</v>
      </c>
      <c r="BL40" s="39" t="n">
        <f aca="false">AV40*BB40</f>
        <v>0</v>
      </c>
      <c r="BM40" s="39" t="n">
        <f aca="false">H40*(Assumptions!$C$68+Assumptions!$C$66)*Assumptions!$F$10</f>
        <v>75</v>
      </c>
      <c r="BN40" s="39" t="n">
        <f aca="false">K40*$C$19+L40*$D$19+M40*$E$19+N40*$F$19+O40*$G$19</f>
        <v>0</v>
      </c>
      <c r="BO40" s="39" t="n">
        <f aca="false">Assumptions!$C$99*W40</f>
        <v>48.31871983456</v>
      </c>
      <c r="BP40" s="39" t="n">
        <f aca="false">Assumptions!C$98/12+P40*Assumptions!$C$101/12</f>
        <v>266.666666666667</v>
      </c>
      <c r="BQ40" s="39" t="n">
        <f aca="false">BD40*Assumptions!$C$102/12+Assumptions!$C$100</f>
        <v>100</v>
      </c>
      <c r="BR40" s="39" t="n">
        <f aca="false">SUM(BF40:BQ40)</f>
        <v>489.985386501227</v>
      </c>
      <c r="BS40" s="39" t="n">
        <f aca="false">W40-AD40-BR40</f>
        <v>824.547631338795</v>
      </c>
      <c r="BT40" s="39" t="n">
        <f aca="false">MAX(0,BD40-BD39)*Assumptions!$C$103</f>
        <v>0</v>
      </c>
      <c r="BU40" s="39" t="n">
        <f aca="false">0</f>
        <v>0</v>
      </c>
      <c r="BV40" s="39" t="n">
        <f aca="false">-(W40-W39)*12*Assumptions!$C$108</f>
        <v>-96.6787780996802</v>
      </c>
      <c r="BW40" s="39" t="n">
        <f aca="false">0</f>
        <v>0</v>
      </c>
      <c r="BX40" s="39" t="n">
        <f aca="false">BS40-BT40+BU40+BV40+BW40</f>
        <v>727.868853239115</v>
      </c>
      <c r="BY40" s="29" t="n">
        <f aca="false">BY39+BX40</f>
        <v>3269.07122898852</v>
      </c>
    </row>
    <row r="41" customFormat="false" ht="15" hidden="false" customHeight="false" outlineLevel="0" collapsed="false">
      <c r="A41" s="45" t="n">
        <v>11</v>
      </c>
      <c r="B41" s="45" t="n">
        <v>2027</v>
      </c>
      <c r="C41" s="45" t="n">
        <v>0</v>
      </c>
      <c r="D41" s="35" t="n">
        <f aca="false">ROUND(Assumptions!C$18*Assumptions!$F$7/12,0)</f>
        <v>250</v>
      </c>
      <c r="E41" s="35" t="n">
        <f aca="false">Rollout!$C$10-I40</f>
        <v>8416</v>
      </c>
      <c r="F41" s="39" t="n">
        <f aca="false">H41*$C$26+H40*$D$26+H39*$E$26+H38*$F$26+H37*$G$26+H36*$H$26+H35*$I$26+H34*$J$26+H33*$K$26+H32*$L$26+H31*$M$26</f>
        <v>577.194100285928</v>
      </c>
      <c r="G41" s="39" t="n">
        <f aca="false">BY40-Assumptions!$C$110-F40-Assumptions!$C$111*(Assumptions!$C$100+Assumptions!C$98/12+BC40)</f>
        <v>1052.79102597618</v>
      </c>
      <c r="H41" s="35" t="n">
        <f aca="false">IF(BE40&gt;0,0,MAX(0,MIN(D41,E41,INT(G41/$C$27))))</f>
        <v>4</v>
      </c>
      <c r="I41" s="35" t="n">
        <f aca="false">I40+H41</f>
        <v>21</v>
      </c>
      <c r="J41" s="35" t="n">
        <f aca="false">SUM(H31:H41)</f>
        <v>21</v>
      </c>
      <c r="K41" s="35" t="n">
        <f aca="false">H41*$C$23+H40*$D$23+H39*$E$23+H38*$F$23+H37*$G$23+H36*$H$23+H35*$I$23+H34*$J$23+H33*$K$23+H32*$L$23+H31*$M$23</f>
        <v>26.0002</v>
      </c>
      <c r="L41" s="35" t="n">
        <f aca="false">0</f>
        <v>0</v>
      </c>
      <c r="M41" s="35" t="n">
        <f aca="false">0</f>
        <v>0</v>
      </c>
      <c r="N41" s="35" t="n">
        <f aca="false">0</f>
        <v>0</v>
      </c>
      <c r="O41" s="35" t="n">
        <f aca="false">0</f>
        <v>0</v>
      </c>
      <c r="P41" s="35" t="n">
        <f aca="false">J41*$C$6+L41*$D$6+M41*$E$6+N41*$F$6+O41*$G$6</f>
        <v>21</v>
      </c>
      <c r="Q41" s="39" t="n">
        <f aca="false">K41*$C$7+L41*$D$7+M41*$E$7+N41*$F$7+O41*$G$7</f>
        <v>1272.5537888</v>
      </c>
      <c r="R41" s="39" t="n">
        <f aca="false">K41*$C$8+L41*$D$8+M41*$E$8+N41*$F$8+O41*$G$8</f>
        <v>686.604961536</v>
      </c>
      <c r="S41" s="39" t="n">
        <f aca="false">K41*$C$9+L41*$D$9+M41*$E$9+N41*$F$9+O41*$G$9</f>
        <v>0</v>
      </c>
      <c r="T41" s="39" t="n">
        <f aca="false">K41*$C$10+L41*$D$10+M41*$E$10+N41*$F$10+O41*$G$10</f>
        <v>236.6928207</v>
      </c>
      <c r="U41" s="39" t="n">
        <f aca="false">K41*$C$11+L41*$D$11+M41*$E$11+N41*$F$11+O41*$G$11</f>
        <v>546.0042</v>
      </c>
      <c r="V41" s="39" t="n">
        <f aca="false">K41*$C$12+L41*$D$12+M41*$E$12+N41*$F$12+O41*$G$12</f>
        <v>0</v>
      </c>
      <c r="W41" s="39" t="n">
        <f aca="false">SUM(Q41:V41)</f>
        <v>2741.855771036</v>
      </c>
      <c r="X41" s="39" t="n">
        <f aca="false">J41*$C$14+L41*$D$14+M41*$E$14+N41*$F$14+O41*$G$14</f>
        <v>668.1325</v>
      </c>
      <c r="Y41" s="39" t="n">
        <f aca="false">J41*$C$15+L41*$D$15+M41*$E$15+N41*$F$15+O41*$G$15</f>
        <v>525</v>
      </c>
      <c r="Z41" s="39" t="n">
        <f aca="false">K41*$C$16+L41*$D$16+M41*$E$16+N41*$F$16+O41*$G$16</f>
        <v>7.88976069</v>
      </c>
      <c r="AA41" s="39" t="n">
        <f aca="false">K41*$C$17+L41*$D$17+M41*$E$17+N41*$F$17+O41*$G$17</f>
        <v>94.857432386944</v>
      </c>
      <c r="AB41" s="39" t="n">
        <f aca="false">J41*$C$18+L41*$D$18+M41*$E$18+N41*$F$18+O41*$G$18</f>
        <v>0</v>
      </c>
      <c r="AC41" s="39" t="n">
        <f aca="false">H41*Assumptions!$C$67*Assumptions!$F$10</f>
        <v>60</v>
      </c>
      <c r="AD41" s="39" t="n">
        <f aca="false">SUM(X41:AC41)</f>
        <v>1355.87969307694</v>
      </c>
      <c r="AE41" s="35" t="n">
        <f aca="false">K41*$C$20+L41*$D$20+M41*$E$20+N41*$F$20+O41*$G$20</f>
        <v>3155.904276</v>
      </c>
      <c r="AF41" s="35" t="n">
        <f aca="false">K41*$C$21+L41*$D$21+M41*$E$21+N41*$F$21+O41*$G$21</f>
        <v>210393.6184</v>
      </c>
      <c r="AG41" s="35" t="n">
        <f aca="false">K41*$C$22+L41*$D$22+M41*$E$22+N41*$F$22+O41*$G$22</f>
        <v>126.806095424</v>
      </c>
      <c r="AH41" s="37" t="n">
        <f aca="false">P41/Assumptions!$C$76</f>
        <v>0.021</v>
      </c>
      <c r="AI41" s="37" t="n">
        <f aca="false">P41/Assumptions!$C$77</f>
        <v>0.021</v>
      </c>
      <c r="AJ41" s="37" t="n">
        <f aca="false">P41/Assumptions!$C$78</f>
        <v>0.175</v>
      </c>
      <c r="AK41" s="37" t="n">
        <f aca="false">H41/(Assumptions!$C$19/12)</f>
        <v>0.12</v>
      </c>
      <c r="AL41" s="37" t="n">
        <f aca="false">Assumptions!C$92</f>
        <v>0</v>
      </c>
      <c r="AM41" s="37" t="n">
        <f aca="false">Assumptions!C$93</f>
        <v>0</v>
      </c>
      <c r="AN41" s="37" t="n">
        <f aca="false">Assumptions!C$94</f>
        <v>0</v>
      </c>
      <c r="AO41" s="37" t="n">
        <f aca="false">SUM(AH41:AN41)</f>
        <v>0.337</v>
      </c>
      <c r="AP41" s="39" t="n">
        <f aca="false">AH41*Assumptions!$C$85*(1+Assumptions!$C$73)*(1+Assumptions!$C$74)^0/12</f>
        <v>153.125</v>
      </c>
      <c r="AQ41" s="39" t="n">
        <f aca="false">AI41*Assumptions!$C$86*(1+Assumptions!$C$73)*(1+Assumptions!$C$74)^0/12</f>
        <v>142.1875</v>
      </c>
      <c r="AR41" s="39" t="n">
        <f aca="false">AJ41*Assumptions!$C$87*(1+Assumptions!$C$73)*(1+Assumptions!$C$74)^0/12</f>
        <v>1002.60416666667</v>
      </c>
      <c r="AS41" s="39" t="n">
        <f aca="false">AK41*Assumptions!$C$85*(1+Assumptions!$C$73)*(1+Assumptions!$C$74)^0/12</f>
        <v>875</v>
      </c>
      <c r="AT41" s="39" t="n">
        <f aca="false">AL41*Assumptions!$C$83*(1+Assumptions!$C$73)*(1+Assumptions!$C$74)^0/12</f>
        <v>0</v>
      </c>
      <c r="AU41" s="39" t="n">
        <f aca="false">AM41*Assumptions!$C$84*(1+Assumptions!$C$73)*(1+Assumptions!$C$74)^0/12</f>
        <v>0</v>
      </c>
      <c r="AV41" s="39" t="n">
        <f aca="false">AN41*Assumptions!$C$88*(1+Assumptions!$C$73)*(1+Assumptions!$C$74)^0/12</f>
        <v>0</v>
      </c>
      <c r="AW41" s="39" t="n">
        <f aca="false">SUM(AP41:AV41)</f>
        <v>2172.91666666667</v>
      </c>
      <c r="AX41" s="39" t="n">
        <f aca="false">MIN(Assumptions!$C$80*W40,MAX(0,BS40+BC40))</f>
        <v>824.547631338795</v>
      </c>
      <c r="AY41" s="39" t="n">
        <f aca="false">IF(SUM(AH41:AK41)&lt;=0,0,MIN(AX41,SUM(AP41:AS41)*MAX(0,1-Assumptions!$C$79/SUM(AH41:AK41))))</f>
        <v>0</v>
      </c>
      <c r="AZ41" s="36" t="n">
        <f aca="false">IF(SUM(AP41:AS41)=0,0,AY41/SUM(AP41:AS41))</f>
        <v>0</v>
      </c>
      <c r="BA41" s="39" t="n">
        <f aca="false">MIN(AX41-AY41,SUM(AT41:AV41))</f>
        <v>0</v>
      </c>
      <c r="BB41" s="36" t="n">
        <f aca="false">IF(SUM(AT41:AV41)=0,0,BA41/SUM(AT41:AV41))</f>
        <v>0</v>
      </c>
      <c r="BC41" s="39" t="n">
        <f aca="false">AY41+BA41</f>
        <v>0</v>
      </c>
      <c r="BD41" s="37" t="n">
        <f aca="false">SUM(AH41:AK41)*AZ41+SUM(AL41:AN41)*BB41</f>
        <v>0</v>
      </c>
      <c r="BE41" s="37" t="n">
        <f aca="false">MAX(0,SUM(AH41:AK41)*(1-AZ41)-Assumptions!$C$79)</f>
        <v>0</v>
      </c>
      <c r="BF41" s="39" t="n">
        <f aca="false">AP41*AZ41</f>
        <v>0</v>
      </c>
      <c r="BG41" s="39" t="n">
        <f aca="false">AQ41*AZ41</f>
        <v>0</v>
      </c>
      <c r="BH41" s="39" t="n">
        <f aca="false">AR41*AZ41</f>
        <v>0</v>
      </c>
      <c r="BI41" s="39" t="n">
        <f aca="false">AS41*AZ41</f>
        <v>0</v>
      </c>
      <c r="BJ41" s="39" t="n">
        <f aca="false">AT41*BB41</f>
        <v>0</v>
      </c>
      <c r="BK41" s="39" t="n">
        <f aca="false">AU41*BB41</f>
        <v>0</v>
      </c>
      <c r="BL41" s="39" t="n">
        <f aca="false">AV41*BB41</f>
        <v>0</v>
      </c>
      <c r="BM41" s="39" t="n">
        <f aca="false">H41*(Assumptions!$C$68+Assumptions!$C$66)*Assumptions!$F$10</f>
        <v>100</v>
      </c>
      <c r="BN41" s="39" t="n">
        <f aca="false">K41*$C$19+L41*$D$19+M41*$E$19+N41*$F$19+O41*$G$19</f>
        <v>0</v>
      </c>
      <c r="BO41" s="39" t="n">
        <f aca="false">Assumptions!$C$99*W41</f>
        <v>54.83711542072</v>
      </c>
      <c r="BP41" s="39" t="n">
        <f aca="false">Assumptions!C$98/12+P41*Assumptions!$C$101/12</f>
        <v>300</v>
      </c>
      <c r="BQ41" s="39" t="n">
        <f aca="false">BD41*Assumptions!$C$102/12+Assumptions!$C$100</f>
        <v>100</v>
      </c>
      <c r="BR41" s="39" t="n">
        <f aca="false">SUM(BF41:BQ41)</f>
        <v>554.83711542072</v>
      </c>
      <c r="BS41" s="39" t="n">
        <f aca="false">W41-AD41-BR41</f>
        <v>831.138962538336</v>
      </c>
      <c r="BT41" s="39" t="n">
        <f aca="false">MAX(0,BD41-BD40)*Assumptions!$C$103</f>
        <v>0</v>
      </c>
      <c r="BU41" s="39" t="n">
        <f aca="false">0</f>
        <v>0</v>
      </c>
      <c r="BV41" s="39" t="n">
        <f aca="false">-(W41-W40)*12*Assumptions!$C$108</f>
        <v>-117.33112055088</v>
      </c>
      <c r="BW41" s="39" t="n">
        <f aca="false">0</f>
        <v>0</v>
      </c>
      <c r="BX41" s="39" t="n">
        <f aca="false">BS41-BT41+BU41+BV41+BW41</f>
        <v>713.807841987456</v>
      </c>
      <c r="BY41" s="29" t="n">
        <f aca="false">BY40+BX41</f>
        <v>3982.87907097598</v>
      </c>
    </row>
    <row r="42" customFormat="false" ht="15" hidden="false" customHeight="false" outlineLevel="0" collapsed="false">
      <c r="A42" s="45" t="n">
        <v>12</v>
      </c>
      <c r="B42" s="45" t="n">
        <v>2027</v>
      </c>
      <c r="C42" s="45" t="n">
        <v>0</v>
      </c>
      <c r="D42" s="35" t="n">
        <f aca="false">ROUND(Assumptions!C$18*Assumptions!$F$7/12,0)</f>
        <v>250</v>
      </c>
      <c r="E42" s="35" t="n">
        <f aca="false">Rollout!$C$10-I41</f>
        <v>8412</v>
      </c>
      <c r="F42" s="39" t="n">
        <f aca="false">H42*$C$26+H41*$D$26+H40*$E$26+H39*$F$26+H38*$G$26+H37*$H$26+H36*$I$26+H35*$J$26+H34*$K$26+H33*$L$26+H32*$M$26+H31*$N$26</f>
        <v>995.357432255957</v>
      </c>
      <c r="G42" s="39" t="n">
        <f aca="false">BY41-Assumptions!$C$110-F41-Assumptions!$C$111*(Assumptions!$C$100+Assumptions!C$98/12+BC41)</f>
        <v>1505.68497069005</v>
      </c>
      <c r="H42" s="35" t="n">
        <f aca="false">IF(BE41&gt;0,0,MAX(0,MIN(D42,E42,INT(G42/$C$27))))</f>
        <v>7</v>
      </c>
      <c r="I42" s="35" t="n">
        <f aca="false">I41+H42</f>
        <v>28</v>
      </c>
      <c r="J42" s="35" t="n">
        <f aca="false">SUM(H31:H42)</f>
        <v>28</v>
      </c>
      <c r="K42" s="35" t="n">
        <f aca="false">H42*$C$23+H41*$D$23+H40*$E$23+H39*$F$23+H38*$G$23+H37*$H$23+H36*$I$23+H35*$J$23+H34*$K$23+H33*$L$23+H32*$M$23+H31*$N$23</f>
        <v>29.818</v>
      </c>
      <c r="L42" s="35" t="n">
        <f aca="false">0</f>
        <v>0</v>
      </c>
      <c r="M42" s="35" t="n">
        <f aca="false">0</f>
        <v>0</v>
      </c>
      <c r="N42" s="35" t="n">
        <f aca="false">0</f>
        <v>0</v>
      </c>
      <c r="O42" s="35" t="n">
        <f aca="false">0</f>
        <v>0</v>
      </c>
      <c r="P42" s="35" t="n">
        <f aca="false">J42*$C$6+L42*$D$6+M42*$E$6+N42*$F$6+O42*$G$6</f>
        <v>28</v>
      </c>
      <c r="Q42" s="39" t="n">
        <f aca="false">K42*$C$7+L42*$D$7+M42*$E$7+N42*$F$7+O42*$G$7</f>
        <v>1459.412192</v>
      </c>
      <c r="R42" s="39" t="n">
        <f aca="false">K42*$C$8+L42*$D$8+M42*$E$8+N42*$F$8+O42*$G$8</f>
        <v>787.42420224</v>
      </c>
      <c r="S42" s="39" t="n">
        <f aca="false">K42*$C$9+L42*$D$9+M42*$E$9+N42*$F$9+O42*$G$9</f>
        <v>0</v>
      </c>
      <c r="T42" s="39" t="n">
        <f aca="false">K42*$C$10+L42*$D$10+M42*$E$10+N42*$F$10+O42*$G$10</f>
        <v>271.448163</v>
      </c>
      <c r="U42" s="39" t="n">
        <f aca="false">K42*$C$11+L42*$D$11+M42*$E$11+N42*$F$11+O42*$G$11</f>
        <v>626.178</v>
      </c>
      <c r="V42" s="39" t="n">
        <f aca="false">K42*$C$12+L42*$D$12+M42*$E$12+N42*$F$12+O42*$G$12</f>
        <v>0</v>
      </c>
      <c r="W42" s="39" t="n">
        <f aca="false">SUM(Q42:V42)</f>
        <v>3144.46255724</v>
      </c>
      <c r="X42" s="39" t="n">
        <f aca="false">J42*$C$14+L42*$D$14+M42*$E$14+N42*$F$14+O42*$G$14</f>
        <v>890.843333333333</v>
      </c>
      <c r="Y42" s="39" t="n">
        <f aca="false">J42*$C$15+L42*$D$15+M42*$E$15+N42*$F$15+O42*$G$15</f>
        <v>700</v>
      </c>
      <c r="Z42" s="39" t="n">
        <f aca="false">K42*$C$16+L42*$D$16+M42*$E$16+N42*$F$16+O42*$G$16</f>
        <v>9.0482721</v>
      </c>
      <c r="AA42" s="39" t="n">
        <f aca="false">K42*$C$17+L42*$D$17+M42*$E$17+N42*$F$17+O42*$G$17</f>
        <v>108.78604468096</v>
      </c>
      <c r="AB42" s="39" t="n">
        <f aca="false">J42*$C$18+L42*$D$18+M42*$E$18+N42*$F$18+O42*$G$18</f>
        <v>0</v>
      </c>
      <c r="AC42" s="39" t="n">
        <f aca="false">H42*Assumptions!$C$67*Assumptions!$F$10</f>
        <v>105</v>
      </c>
      <c r="AD42" s="39" t="n">
        <f aca="false">SUM(X42:AC42)</f>
        <v>1813.67765011429</v>
      </c>
      <c r="AE42" s="35" t="n">
        <f aca="false">K42*$C$20+L42*$D$20+M42*$E$20+N42*$F$20+O42*$G$20</f>
        <v>3619.30884</v>
      </c>
      <c r="AF42" s="35" t="n">
        <f aca="false">K42*$C$21+L42*$D$21+M42*$E$21+N42*$F$21+O42*$G$21</f>
        <v>241287.256</v>
      </c>
      <c r="AG42" s="35" t="n">
        <f aca="false">K42*$C$22+L42*$D$22+M42*$E$22+N42*$F$22+O42*$G$22</f>
        <v>145.42596416</v>
      </c>
      <c r="AH42" s="37" t="n">
        <f aca="false">P42/Assumptions!$C$76</f>
        <v>0.028</v>
      </c>
      <c r="AI42" s="37" t="n">
        <f aca="false">P42/Assumptions!$C$77</f>
        <v>0.028</v>
      </c>
      <c r="AJ42" s="37" t="n">
        <f aca="false">P42/Assumptions!$C$78</f>
        <v>0.233333333333333</v>
      </c>
      <c r="AK42" s="37" t="n">
        <f aca="false">H42/(Assumptions!$C$19/12)</f>
        <v>0.21</v>
      </c>
      <c r="AL42" s="37" t="n">
        <f aca="false">Assumptions!C$92</f>
        <v>0</v>
      </c>
      <c r="AM42" s="37" t="n">
        <f aca="false">Assumptions!C$93</f>
        <v>0</v>
      </c>
      <c r="AN42" s="37" t="n">
        <f aca="false">Assumptions!C$94</f>
        <v>0</v>
      </c>
      <c r="AO42" s="37" t="n">
        <f aca="false">SUM(AH42:AN42)</f>
        <v>0.499333333333333</v>
      </c>
      <c r="AP42" s="39" t="n">
        <f aca="false">AH42*Assumptions!$C$85*(1+Assumptions!$C$73)*(1+Assumptions!$C$74)^0/12</f>
        <v>204.166666666667</v>
      </c>
      <c r="AQ42" s="39" t="n">
        <f aca="false">AI42*Assumptions!$C$86*(1+Assumptions!$C$73)*(1+Assumptions!$C$74)^0/12</f>
        <v>189.583333333333</v>
      </c>
      <c r="AR42" s="39" t="n">
        <f aca="false">AJ42*Assumptions!$C$87*(1+Assumptions!$C$73)*(1+Assumptions!$C$74)^0/12</f>
        <v>1336.80555555556</v>
      </c>
      <c r="AS42" s="39" t="n">
        <f aca="false">AK42*Assumptions!$C$85*(1+Assumptions!$C$73)*(1+Assumptions!$C$74)^0/12</f>
        <v>1531.25</v>
      </c>
      <c r="AT42" s="39" t="n">
        <f aca="false">AL42*Assumptions!$C$83*(1+Assumptions!$C$73)*(1+Assumptions!$C$74)^0/12</f>
        <v>0</v>
      </c>
      <c r="AU42" s="39" t="n">
        <f aca="false">AM42*Assumptions!$C$84*(1+Assumptions!$C$73)*(1+Assumptions!$C$74)^0/12</f>
        <v>0</v>
      </c>
      <c r="AV42" s="39" t="n">
        <f aca="false">AN42*Assumptions!$C$88*(1+Assumptions!$C$73)*(1+Assumptions!$C$74)^0/12</f>
        <v>0</v>
      </c>
      <c r="AW42" s="39" t="n">
        <f aca="false">SUM(AP42:AV42)</f>
        <v>3261.80555555556</v>
      </c>
      <c r="AX42" s="39" t="n">
        <f aca="false">MIN(Assumptions!$C$80*W41,MAX(0,BS41+BC41))</f>
        <v>831.138962538336</v>
      </c>
      <c r="AY42" s="39" t="n">
        <f aca="false">IF(SUM(AH42:AK42)&lt;=0,0,MIN(AX42,SUM(AP42:AS42)*MAX(0,1-Assumptions!$C$79/SUM(AH42:AK42))))</f>
        <v>0</v>
      </c>
      <c r="AZ42" s="36" t="n">
        <f aca="false">IF(SUM(AP42:AS42)=0,0,AY42/SUM(AP42:AS42))</f>
        <v>0</v>
      </c>
      <c r="BA42" s="39" t="n">
        <f aca="false">MIN(AX42-AY42,SUM(AT42:AV42))</f>
        <v>0</v>
      </c>
      <c r="BB42" s="36" t="n">
        <f aca="false">IF(SUM(AT42:AV42)=0,0,BA42/SUM(AT42:AV42))</f>
        <v>0</v>
      </c>
      <c r="BC42" s="39" t="n">
        <f aca="false">AY42+BA42</f>
        <v>0</v>
      </c>
      <c r="BD42" s="37" t="n">
        <f aca="false">SUM(AH42:AK42)*AZ42+SUM(AL42:AN42)*BB42</f>
        <v>0</v>
      </c>
      <c r="BE42" s="37" t="n">
        <f aca="false">MAX(0,SUM(AH42:AK42)*(1-AZ42)-Assumptions!$C$79)</f>
        <v>0</v>
      </c>
      <c r="BF42" s="39" t="n">
        <f aca="false">AP42*AZ42</f>
        <v>0</v>
      </c>
      <c r="BG42" s="39" t="n">
        <f aca="false">AQ42*AZ42</f>
        <v>0</v>
      </c>
      <c r="BH42" s="39" t="n">
        <f aca="false">AR42*AZ42</f>
        <v>0</v>
      </c>
      <c r="BI42" s="39" t="n">
        <f aca="false">AS42*AZ42</f>
        <v>0</v>
      </c>
      <c r="BJ42" s="39" t="n">
        <f aca="false">AT42*BB42</f>
        <v>0</v>
      </c>
      <c r="BK42" s="39" t="n">
        <f aca="false">AU42*BB42</f>
        <v>0</v>
      </c>
      <c r="BL42" s="39" t="n">
        <f aca="false">AV42*BB42</f>
        <v>0</v>
      </c>
      <c r="BM42" s="39" t="n">
        <f aca="false">H42*(Assumptions!$C$68+Assumptions!$C$66)*Assumptions!$F$10</f>
        <v>175</v>
      </c>
      <c r="BN42" s="39" t="n">
        <f aca="false">K42*$C$19+L42*$D$19+M42*$E$19+N42*$F$19+O42*$G$19</f>
        <v>0</v>
      </c>
      <c r="BO42" s="39" t="n">
        <f aca="false">Assumptions!$C$99*W42</f>
        <v>62.8892511448</v>
      </c>
      <c r="BP42" s="39" t="n">
        <f aca="false">Assumptions!C$98/12+P42*Assumptions!$C$101/12</f>
        <v>358.333333333333</v>
      </c>
      <c r="BQ42" s="39" t="n">
        <f aca="false">BD42*Assumptions!$C$102/12+Assumptions!$C$100</f>
        <v>100</v>
      </c>
      <c r="BR42" s="39" t="n">
        <f aca="false">SUM(BF42:BQ42)</f>
        <v>696.222584478133</v>
      </c>
      <c r="BS42" s="39" t="n">
        <f aca="false">W42-AD42-BR42</f>
        <v>634.562322647574</v>
      </c>
      <c r="BT42" s="39" t="n">
        <f aca="false">MAX(0,BD42-BD41)*Assumptions!$C$103</f>
        <v>0</v>
      </c>
      <c r="BU42" s="39" t="n">
        <f aca="false">0</f>
        <v>0</v>
      </c>
      <c r="BV42" s="39" t="n">
        <f aca="false">-(W42-W41)*12*Assumptions!$C$108</f>
        <v>-144.93844303344</v>
      </c>
      <c r="BW42" s="39" t="n">
        <f aca="false">0</f>
        <v>0</v>
      </c>
      <c r="BX42" s="39" t="n">
        <f aca="false">BS42-BT42+BU42+BV42+BW42</f>
        <v>489.623879614134</v>
      </c>
      <c r="BY42" s="29" t="n">
        <f aca="false">BY41+BX42</f>
        <v>4472.50295059011</v>
      </c>
    </row>
    <row r="43" customFormat="false" ht="15" hidden="false" customHeight="false" outlineLevel="0" collapsed="false">
      <c r="A43" s="45" t="n">
        <v>13</v>
      </c>
      <c r="B43" s="45" t="n">
        <v>2028</v>
      </c>
      <c r="C43" s="45" t="n">
        <v>1</v>
      </c>
      <c r="D43" s="35" t="n">
        <f aca="false">ROUND(Assumptions!D$18*Assumptions!$F$7/12,0)</f>
        <v>250</v>
      </c>
      <c r="E43" s="35" t="n">
        <f aca="false">Rollout!$C$10-I42</f>
        <v>8405</v>
      </c>
      <c r="F43" s="39" t="n">
        <f aca="false">H43*$C$26+H42*$D$26+H41*$E$26+H40*$F$26+H39*$G$26+H38*$H$26+H37*$I$26+H36*$J$26+H35*$K$26+H34*$L$26+H33*$M$26+H32*$N$26</f>
        <v>956.675818065744</v>
      </c>
      <c r="G43" s="39" t="n">
        <f aca="false">BY42-Assumptions!$C$110-F42-Assumptions!$C$111*(Assumptions!$C$100+Assumptions!D$98/12+BC42)</f>
        <v>1077.14551833416</v>
      </c>
      <c r="H43" s="35" t="n">
        <f aca="false">IF(BE42&gt;0,0,MAX(0,MIN(D43,E43,INT(G43/$C$27))))</f>
        <v>5</v>
      </c>
      <c r="I43" s="35" t="n">
        <f aca="false">I42+H43</f>
        <v>33</v>
      </c>
      <c r="J43" s="35" t="n">
        <f aca="false">SUM(H32:H43)</f>
        <v>19</v>
      </c>
      <c r="K43" s="35" t="n">
        <f aca="false">H43*$C$23+H42*$D$23+H41*$E$23+H40*$F$23+H39*$G$23+H38*$H$23+H37*$I$23+H36*$J$23+H35*$K$23+H34*$L$23+H33*$M$23+H32*$N$23</f>
        <v>4.3635</v>
      </c>
      <c r="L43" s="35" t="n">
        <f aca="false">SUM(H31:H31)</f>
        <v>14</v>
      </c>
      <c r="M43" s="35" t="n">
        <f aca="false">0</f>
        <v>0</v>
      </c>
      <c r="N43" s="35" t="n">
        <f aca="false">0</f>
        <v>0</v>
      </c>
      <c r="O43" s="35" t="n">
        <f aca="false">0</f>
        <v>0</v>
      </c>
      <c r="P43" s="35" t="n">
        <f aca="false">J43*$C$6+L43*$D$6+M43*$E$6+N43*$F$6+O43*$G$6</f>
        <v>32.58</v>
      </c>
      <c r="Q43" s="39" t="n">
        <f aca="false">K43*$C$7+L43*$D$7+M43*$E$7+N43*$F$7+O43*$G$7</f>
        <v>2207.545704</v>
      </c>
      <c r="R43" s="39" t="n">
        <f aca="false">K43*$C$8+L43*$D$8+M43*$E$8+N43*$F$8+O43*$G$8</f>
        <v>1460.04101568</v>
      </c>
      <c r="S43" s="39" t="n">
        <f aca="false">K43*$C$9+L43*$D$9+M43*$E$9+N43*$F$9+O43*$G$9</f>
        <v>752.8752</v>
      </c>
      <c r="T43" s="39" t="n">
        <f aca="false">K43*$C$10+L43*$D$10+M43*$E$10+N43*$F$10+O43*$G$10</f>
        <v>1028.72736225</v>
      </c>
      <c r="U43" s="39" t="n">
        <f aca="false">K43*$C$11+L43*$D$11+M43*$E$11+N43*$F$11+O43*$G$11</f>
        <v>947.1735</v>
      </c>
      <c r="V43" s="39" t="n">
        <f aca="false">K43*$C$12+L43*$D$12+M43*$E$12+N43*$F$12+O43*$G$12</f>
        <v>0</v>
      </c>
      <c r="W43" s="39" t="n">
        <f aca="false">SUM(Q43:V43)</f>
        <v>6396.36278193</v>
      </c>
      <c r="X43" s="39" t="n">
        <f aca="false">J43*$C$14+L43*$D$14+M43*$E$14+N43*$F$14+O43*$G$14</f>
        <v>1036.55985</v>
      </c>
      <c r="Y43" s="39" t="n">
        <f aca="false">J43*$C$15+L43*$D$15+M43*$E$15+N43*$F$15+O43*$G$15</f>
        <v>814.5</v>
      </c>
      <c r="Z43" s="39" t="n">
        <f aca="false">K43*$C$16+L43*$D$16+M43*$E$16+N43*$F$16+O43*$G$16</f>
        <v>12.313040075</v>
      </c>
      <c r="AA43" s="39" t="n">
        <f aca="false">K43*$C$17+L43*$D$17+M43*$E$17+N43*$F$17+O43*$G$17</f>
        <v>174.42150960672</v>
      </c>
      <c r="AB43" s="39" t="n">
        <f aca="false">J43*$C$18+L43*$D$18+M43*$E$18+N43*$F$18+O43*$G$18</f>
        <v>22.6333333333333</v>
      </c>
      <c r="AC43" s="39" t="n">
        <f aca="false">H43*Assumptions!$C$67*Assumptions!$F$10</f>
        <v>75</v>
      </c>
      <c r="AD43" s="39" t="n">
        <f aca="false">SUM(X43:AC43)</f>
        <v>2135.42773301505</v>
      </c>
      <c r="AE43" s="35" t="n">
        <f aca="false">K43*$C$20+L43*$D$20+M43*$E$20+N43*$F$20+O43*$G$20</f>
        <v>4925.21603</v>
      </c>
      <c r="AF43" s="35" t="n">
        <f aca="false">K43*$C$21+L43*$D$21+M43*$E$21+N43*$F$21+O43*$G$21</f>
        <v>255088.162</v>
      </c>
      <c r="AG43" s="35" t="n">
        <f aca="false">K43*$C$22+L43*$D$22+M43*$E$22+N43*$F$22+O43*$G$22</f>
        <v>234.47644912</v>
      </c>
      <c r="AH43" s="37" t="n">
        <f aca="false">P43/Assumptions!$C$76</f>
        <v>0.03258</v>
      </c>
      <c r="AI43" s="37" t="n">
        <f aca="false">P43/Assumptions!$C$77</f>
        <v>0.03258</v>
      </c>
      <c r="AJ43" s="37" t="n">
        <f aca="false">P43/Assumptions!$C$78</f>
        <v>0.2715</v>
      </c>
      <c r="AK43" s="37" t="n">
        <f aca="false">H43/(Assumptions!$C$19/12)</f>
        <v>0.15</v>
      </c>
      <c r="AL43" s="37" t="n">
        <f aca="false">Assumptions!D$92</f>
        <v>0</v>
      </c>
      <c r="AM43" s="37" t="n">
        <f aca="false">Assumptions!D$93</f>
        <v>1</v>
      </c>
      <c r="AN43" s="37" t="n">
        <f aca="false">Assumptions!D$94</f>
        <v>0</v>
      </c>
      <c r="AO43" s="37" t="n">
        <f aca="false">SUM(AH43:AN43)</f>
        <v>1.48666</v>
      </c>
      <c r="AP43" s="39" t="n">
        <f aca="false">AH43*Assumptions!$C$85*(1+Assumptions!$C$73)*(1+Assumptions!$C$74)^1/12</f>
        <v>244.689375</v>
      </c>
      <c r="AQ43" s="39" t="n">
        <f aca="false">AI43*Assumptions!$C$86*(1+Assumptions!$C$73)*(1+Assumptions!$C$74)^1/12</f>
        <v>227.2115625</v>
      </c>
      <c r="AR43" s="39" t="n">
        <f aca="false">AJ43*Assumptions!$C$87*(1+Assumptions!$C$73)*(1+Assumptions!$C$74)^1/12</f>
        <v>1602.1328125</v>
      </c>
      <c r="AS43" s="39" t="n">
        <f aca="false">AK43*Assumptions!$C$85*(1+Assumptions!$C$73)*(1+Assumptions!$C$74)^1/12</f>
        <v>1126.5625</v>
      </c>
      <c r="AT43" s="39" t="n">
        <f aca="false">AL43*Assumptions!$C$83*(1+Assumptions!$C$73)*(1+Assumptions!$C$74)^1/12</f>
        <v>0</v>
      </c>
      <c r="AU43" s="39" t="n">
        <f aca="false">AM43*Assumptions!$C$84*(1+Assumptions!$C$73)*(1+Assumptions!$C$74)^1/12</f>
        <v>18239.5833333333</v>
      </c>
      <c r="AV43" s="39" t="n">
        <f aca="false">AN43*Assumptions!$C$88*(1+Assumptions!$C$73)*(1+Assumptions!$C$74)^1/12</f>
        <v>0</v>
      </c>
      <c r="AW43" s="39" t="n">
        <f aca="false">SUM(AP43:AV43)</f>
        <v>21440.1795833333</v>
      </c>
      <c r="AX43" s="39" t="n">
        <f aca="false">MIN(Assumptions!$C$80*W42,MAX(0,BS42+BC42))</f>
        <v>634.562322647574</v>
      </c>
      <c r="AY43" s="39" t="n">
        <f aca="false">IF(SUM(AH43:AK43)&lt;=0,0,MIN(AX43,SUM(AP43:AS43)*MAX(0,1-Assumptions!$C$79/SUM(AH43:AK43))))</f>
        <v>0</v>
      </c>
      <c r="AZ43" s="36" t="n">
        <f aca="false">IF(SUM(AP43:AS43)=0,0,AY43/SUM(AP43:AS43))</f>
        <v>0</v>
      </c>
      <c r="BA43" s="39" t="n">
        <f aca="false">MIN(AX43-AY43,SUM(AT43:AV43))</f>
        <v>634.562322647574</v>
      </c>
      <c r="BB43" s="36" t="n">
        <f aca="false">IF(SUM(AT43:AV43)=0,0,BA43/SUM(AT43:AV43))</f>
        <v>0.0347903957590903</v>
      </c>
      <c r="BC43" s="39" t="n">
        <f aca="false">AY43+BA43</f>
        <v>634.562322647574</v>
      </c>
      <c r="BD43" s="37" t="n">
        <f aca="false">SUM(AH43:AK43)*AZ43+SUM(AL43:AN43)*BB43</f>
        <v>0.0347903957590903</v>
      </c>
      <c r="BE43" s="37" t="n">
        <f aca="false">MAX(0,SUM(AH43:AK43)*(1-AZ43)-Assumptions!$C$79)</f>
        <v>0</v>
      </c>
      <c r="BF43" s="39" t="n">
        <f aca="false">AP43*AZ43</f>
        <v>0</v>
      </c>
      <c r="BG43" s="39" t="n">
        <f aca="false">AQ43*AZ43</f>
        <v>0</v>
      </c>
      <c r="BH43" s="39" t="n">
        <f aca="false">AR43*AZ43</f>
        <v>0</v>
      </c>
      <c r="BI43" s="39" t="n">
        <f aca="false">AS43*AZ43</f>
        <v>0</v>
      </c>
      <c r="BJ43" s="39" t="n">
        <f aca="false">AT43*BB43</f>
        <v>0</v>
      </c>
      <c r="BK43" s="39" t="n">
        <f aca="false">AU43*BB43</f>
        <v>634.562322647574</v>
      </c>
      <c r="BL43" s="39" t="n">
        <f aca="false">AV43*BB43</f>
        <v>0</v>
      </c>
      <c r="BM43" s="39" t="n">
        <f aca="false">H43*(Assumptions!$C$68+Assumptions!$C$66)*Assumptions!$F$10</f>
        <v>125</v>
      </c>
      <c r="BN43" s="39" t="n">
        <f aca="false">K43*$C$19+L43*$D$19+M43*$E$19+N43*$F$19+O43*$G$19</f>
        <v>0</v>
      </c>
      <c r="BO43" s="39" t="n">
        <f aca="false">Assumptions!$C$99*W43</f>
        <v>127.9272556386</v>
      </c>
      <c r="BP43" s="39" t="n">
        <f aca="false">Assumptions!D$98/12+P43*Assumptions!$C$101/12</f>
        <v>521.5</v>
      </c>
      <c r="BQ43" s="39" t="n">
        <f aca="false">BD43*Assumptions!$C$102/12+Assumptions!$C$100</f>
        <v>108.697598939773</v>
      </c>
      <c r="BR43" s="39" t="n">
        <f aca="false">SUM(BF43:BQ43)</f>
        <v>1517.68717722595</v>
      </c>
      <c r="BS43" s="39" t="n">
        <f aca="false">W43-AD43-BR43</f>
        <v>2743.247871689</v>
      </c>
      <c r="BT43" s="39" t="n">
        <f aca="false">MAX(0,BD43-BD42)*Assumptions!$C$103</f>
        <v>86.9759893977257</v>
      </c>
      <c r="BU43" s="39" t="n">
        <f aca="false">-'P&amp;L'!C24</f>
        <v>-151.127367799128</v>
      </c>
      <c r="BV43" s="39" t="n">
        <f aca="false">-(W43-W42)*12*Assumptions!$C$108</f>
        <v>-1170.6840808884</v>
      </c>
      <c r="BW43" s="39" t="n">
        <f aca="false">Assumptions!D$114</f>
        <v>0</v>
      </c>
      <c r="BX43" s="39" t="n">
        <f aca="false">BS43-BT43+BU43+BV43+BW43</f>
        <v>1334.46043360375</v>
      </c>
      <c r="BY43" s="29" t="n">
        <f aca="false">BY42+BX43</f>
        <v>5806.96338419386</v>
      </c>
    </row>
    <row r="44" customFormat="false" ht="15" hidden="false" customHeight="false" outlineLevel="0" collapsed="false">
      <c r="A44" s="45" t="n">
        <v>14</v>
      </c>
      <c r="B44" s="45" t="n">
        <v>2028</v>
      </c>
      <c r="C44" s="45" t="n">
        <v>1</v>
      </c>
      <c r="D44" s="35" t="n">
        <f aca="false">ROUND(Assumptions!D$18*Assumptions!$F$7/12,0)</f>
        <v>250</v>
      </c>
      <c r="E44" s="35" t="n">
        <f aca="false">Rollout!$C$10-I43</f>
        <v>8400</v>
      </c>
      <c r="F44" s="39" t="n">
        <f aca="false">H44*$C$26+H43*$D$26+H42*$E$26+H41*$F$26+H40*$G$26+H39*$H$26+H38*$I$26+H37*$J$26+H36*$K$26+H35*$L$26+H34*$M$26+H33*$N$26</f>
        <v>375.938112400053</v>
      </c>
      <c r="G44" s="39" t="n">
        <f aca="false">BY43-Assumptions!$C$110-F43-Assumptions!$C$111*(Assumptions!$C$100+Assumptions!D$98/12+BC43)</f>
        <v>-87.9617244621786</v>
      </c>
      <c r="H44" s="35" t="n">
        <f aca="false">IF(BE43&gt;0,0,MAX(0,MIN(D44,E44,INT(G44/$C$27))))</f>
        <v>0</v>
      </c>
      <c r="I44" s="35" t="n">
        <f aca="false">I43+H44</f>
        <v>33</v>
      </c>
      <c r="J44" s="35" t="n">
        <f aca="false">SUM(H33:H44)</f>
        <v>19</v>
      </c>
      <c r="K44" s="35" t="n">
        <f aca="false">H44*$C$23+H43*$D$23+H42*$E$23+H41*$F$23+H40*$G$23+H39*$H$23+H38*$I$23+H37*$J$23+H36*$K$23+H35*$L$23+H34*$M$23+H33*$N$23</f>
        <v>7.8181</v>
      </c>
      <c r="L44" s="35" t="n">
        <f aca="false">SUM(H31:H32)</f>
        <v>14</v>
      </c>
      <c r="M44" s="35" t="n">
        <f aca="false">0</f>
        <v>0</v>
      </c>
      <c r="N44" s="35" t="n">
        <f aca="false">0</f>
        <v>0</v>
      </c>
      <c r="O44" s="35" t="n">
        <f aca="false">0</f>
        <v>0</v>
      </c>
      <c r="P44" s="35" t="n">
        <f aca="false">J44*$C$6+L44*$D$6+M44*$E$6+N44*$F$6+O44*$G$6</f>
        <v>32.58</v>
      </c>
      <c r="Q44" s="39" t="n">
        <f aca="false">K44*$C$7+L44*$D$7+M44*$E$7+N44*$F$7+O44*$G$7</f>
        <v>2376.6276464</v>
      </c>
      <c r="R44" s="39" t="n">
        <f aca="false">K44*$C$8+L44*$D$8+M44*$E$8+N44*$F$8+O44*$G$8</f>
        <v>1551.268987008</v>
      </c>
      <c r="S44" s="39" t="n">
        <f aca="false">K44*$C$9+L44*$D$9+M44*$E$9+N44*$F$9+O44*$G$9</f>
        <v>752.8752</v>
      </c>
      <c r="T44" s="39" t="n">
        <f aca="false">K44*$C$10+L44*$D$10+M44*$E$10+N44*$F$10+O44*$G$10</f>
        <v>1060.17631335</v>
      </c>
      <c r="U44" s="39" t="n">
        <f aca="false">K44*$C$11+L44*$D$11+M44*$E$11+N44*$F$11+O44*$G$11</f>
        <v>1019.7201</v>
      </c>
      <c r="V44" s="39" t="n">
        <f aca="false">K44*$C$12+L44*$D$12+M44*$E$12+N44*$F$12+O44*$G$12</f>
        <v>0</v>
      </c>
      <c r="W44" s="39" t="n">
        <f aca="false">SUM(Q44:V44)</f>
        <v>6760.668246758</v>
      </c>
      <c r="X44" s="39" t="n">
        <f aca="false">J44*$C$14+L44*$D$14+M44*$E$14+N44*$F$14+O44*$G$14</f>
        <v>1036.55985</v>
      </c>
      <c r="Y44" s="39" t="n">
        <f aca="false">J44*$C$15+L44*$D$15+M44*$E$15+N44*$F$15+O44*$G$15</f>
        <v>814.5</v>
      </c>
      <c r="Z44" s="39" t="n">
        <f aca="false">K44*$C$16+L44*$D$16+M44*$E$16+N44*$F$16+O44*$G$16</f>
        <v>13.361338445</v>
      </c>
      <c r="AA44" s="39" t="n">
        <f aca="false">K44*$C$17+L44*$D$17+M44*$E$17+N44*$F$17+O44*$G$17</f>
        <v>187.025046730432</v>
      </c>
      <c r="AB44" s="39" t="n">
        <f aca="false">J44*$C$18+L44*$D$18+M44*$E$18+N44*$F$18+O44*$G$18</f>
        <v>22.6333333333333</v>
      </c>
      <c r="AC44" s="39" t="n">
        <f aca="false">H44*Assumptions!$C$67*Assumptions!$F$10</f>
        <v>0</v>
      </c>
      <c r="AD44" s="39" t="n">
        <f aca="false">SUM(X44:AC44)</f>
        <v>2074.07956850877</v>
      </c>
      <c r="AE44" s="35" t="n">
        <f aca="false">K44*$C$20+L44*$D$20+M44*$E$20+N44*$F$20+O44*$G$20</f>
        <v>5344.535378</v>
      </c>
      <c r="AF44" s="35" t="n">
        <f aca="false">K44*$C$21+L44*$D$21+M44*$E$21+N44*$F$21+O44*$G$21</f>
        <v>283042.7852</v>
      </c>
      <c r="AG44" s="35" t="n">
        <f aca="false">K44*$C$22+L44*$D$22+M44*$E$22+N44*$F$22+O44*$G$22</f>
        <v>251.324947872</v>
      </c>
      <c r="AH44" s="37" t="n">
        <f aca="false">P44/Assumptions!$C$76</f>
        <v>0.03258</v>
      </c>
      <c r="AI44" s="37" t="n">
        <f aca="false">P44/Assumptions!$C$77</f>
        <v>0.03258</v>
      </c>
      <c r="AJ44" s="37" t="n">
        <f aca="false">P44/Assumptions!$C$78</f>
        <v>0.2715</v>
      </c>
      <c r="AK44" s="37" t="n">
        <f aca="false">H44/(Assumptions!$C$19/12)</f>
        <v>0</v>
      </c>
      <c r="AL44" s="37" t="n">
        <f aca="false">Assumptions!D$92</f>
        <v>0</v>
      </c>
      <c r="AM44" s="37" t="n">
        <f aca="false">Assumptions!D$93</f>
        <v>1</v>
      </c>
      <c r="AN44" s="37" t="n">
        <f aca="false">Assumptions!D$94</f>
        <v>0</v>
      </c>
      <c r="AO44" s="37" t="n">
        <f aca="false">SUM(AH44:AN44)</f>
        <v>1.33666</v>
      </c>
      <c r="AP44" s="39" t="n">
        <f aca="false">AH44*Assumptions!$C$85*(1+Assumptions!$C$73)*(1+Assumptions!$C$74)^1/12</f>
        <v>244.689375</v>
      </c>
      <c r="AQ44" s="39" t="n">
        <f aca="false">AI44*Assumptions!$C$86*(1+Assumptions!$C$73)*(1+Assumptions!$C$74)^1/12</f>
        <v>227.2115625</v>
      </c>
      <c r="AR44" s="39" t="n">
        <f aca="false">AJ44*Assumptions!$C$87*(1+Assumptions!$C$73)*(1+Assumptions!$C$74)^1/12</f>
        <v>1602.1328125</v>
      </c>
      <c r="AS44" s="39" t="n">
        <f aca="false">AK44*Assumptions!$C$85*(1+Assumptions!$C$73)*(1+Assumptions!$C$74)^1/12</f>
        <v>0</v>
      </c>
      <c r="AT44" s="39" t="n">
        <f aca="false">AL44*Assumptions!$C$83*(1+Assumptions!$C$73)*(1+Assumptions!$C$74)^1/12</f>
        <v>0</v>
      </c>
      <c r="AU44" s="39" t="n">
        <f aca="false">AM44*Assumptions!$C$84*(1+Assumptions!$C$73)*(1+Assumptions!$C$74)^1/12</f>
        <v>18239.5833333333</v>
      </c>
      <c r="AV44" s="39" t="n">
        <f aca="false">AN44*Assumptions!$C$88*(1+Assumptions!$C$73)*(1+Assumptions!$C$74)^1/12</f>
        <v>0</v>
      </c>
      <c r="AW44" s="39" t="n">
        <f aca="false">SUM(AP44:AV44)</f>
        <v>20313.6170833333</v>
      </c>
      <c r="AX44" s="39" t="n">
        <f aca="false">MIN(Assumptions!$C$80*W43,MAX(0,BS43+BC43))</f>
        <v>2558.545112772</v>
      </c>
      <c r="AY44" s="39" t="n">
        <f aca="false">IF(SUM(AH44:AK44)&lt;=0,0,MIN(AX44,SUM(AP44:AS44)*MAX(0,1-Assumptions!$C$79/SUM(AH44:AK44))))</f>
        <v>0</v>
      </c>
      <c r="AZ44" s="36" t="n">
        <f aca="false">IF(SUM(AP44:AS44)=0,0,AY44/SUM(AP44:AS44))</f>
        <v>0</v>
      </c>
      <c r="BA44" s="39" t="n">
        <f aca="false">MIN(AX44-AY44,SUM(AT44:AV44))</f>
        <v>2558.545112772</v>
      </c>
      <c r="BB44" s="36" t="n">
        <f aca="false">IF(SUM(AT44:AV44)=0,0,BA44/SUM(AT44:AV44))</f>
        <v>0.140274318004633</v>
      </c>
      <c r="BC44" s="39" t="n">
        <f aca="false">AY44+BA44</f>
        <v>2558.545112772</v>
      </c>
      <c r="BD44" s="37" t="n">
        <f aca="false">SUM(AH44:AK44)*AZ44+SUM(AL44:AN44)*BB44</f>
        <v>0.140274318004633</v>
      </c>
      <c r="BE44" s="37" t="n">
        <f aca="false">MAX(0,SUM(AH44:AK44)*(1-AZ44)-Assumptions!$C$79)</f>
        <v>0</v>
      </c>
      <c r="BF44" s="39" t="n">
        <f aca="false">AP44*AZ44</f>
        <v>0</v>
      </c>
      <c r="BG44" s="39" t="n">
        <f aca="false">AQ44*AZ44</f>
        <v>0</v>
      </c>
      <c r="BH44" s="39" t="n">
        <f aca="false">AR44*AZ44</f>
        <v>0</v>
      </c>
      <c r="BI44" s="39" t="n">
        <f aca="false">AS44*AZ44</f>
        <v>0</v>
      </c>
      <c r="BJ44" s="39" t="n">
        <f aca="false">AT44*BB44</f>
        <v>0</v>
      </c>
      <c r="BK44" s="39" t="n">
        <f aca="false">AU44*BB44</f>
        <v>2558.545112772</v>
      </c>
      <c r="BL44" s="39" t="n">
        <f aca="false">AV44*BB44</f>
        <v>0</v>
      </c>
      <c r="BM44" s="39" t="n">
        <f aca="false">H44*(Assumptions!$C$68+Assumptions!$C$66)*Assumptions!$F$10</f>
        <v>0</v>
      </c>
      <c r="BN44" s="39" t="n">
        <f aca="false">K44*$C$19+L44*$D$19+M44*$E$19+N44*$F$19+O44*$G$19</f>
        <v>0</v>
      </c>
      <c r="BO44" s="39" t="n">
        <f aca="false">Assumptions!$C$99*W44</f>
        <v>135.21336493516</v>
      </c>
      <c r="BP44" s="39" t="n">
        <f aca="false">Assumptions!D$98/12+P44*Assumptions!$C$101/12</f>
        <v>521.5</v>
      </c>
      <c r="BQ44" s="39" t="n">
        <f aca="false">BD44*Assumptions!$C$102/12+Assumptions!$C$100</f>
        <v>135.068579501158</v>
      </c>
      <c r="BR44" s="39" t="n">
        <f aca="false">SUM(BF44:BQ44)</f>
        <v>3350.32705720832</v>
      </c>
      <c r="BS44" s="39" t="n">
        <f aca="false">W44-AD44-BR44</f>
        <v>1336.26162104092</v>
      </c>
      <c r="BT44" s="39" t="n">
        <f aca="false">MAX(0,BD44-BD43)*Assumptions!$C$103</f>
        <v>263.709805613856</v>
      </c>
      <c r="BU44" s="39" t="n">
        <f aca="false">0</f>
        <v>0</v>
      </c>
      <c r="BV44" s="39" t="n">
        <f aca="false">-(W44-W43)*12*Assumptions!$C$108</f>
        <v>-131.14996733808</v>
      </c>
      <c r="BW44" s="39" t="n">
        <f aca="false">0</f>
        <v>0</v>
      </c>
      <c r="BX44" s="39" t="n">
        <f aca="false">BS44-BT44+BU44+BV44+BW44</f>
        <v>941.40184808898</v>
      </c>
      <c r="BY44" s="29" t="n">
        <f aca="false">BY43+BX44</f>
        <v>6748.36523228284</v>
      </c>
    </row>
    <row r="45" customFormat="false" ht="15" hidden="false" customHeight="false" outlineLevel="0" collapsed="false">
      <c r="A45" s="45" t="n">
        <v>15</v>
      </c>
      <c r="B45" s="45" t="n">
        <v>2028</v>
      </c>
      <c r="C45" s="45" t="n">
        <v>1</v>
      </c>
      <c r="D45" s="35" t="n">
        <f aca="false">ROUND(Assumptions!D$18*Assumptions!$F$7/12,0)</f>
        <v>250</v>
      </c>
      <c r="E45" s="35" t="n">
        <f aca="false">Rollout!$C$10-I44</f>
        <v>8400</v>
      </c>
      <c r="F45" s="39" t="n">
        <f aca="false">H45*$C$26+H44*$D$26+H43*$E$26+H42*$F$26+H41*$G$26+H40*$H$26+H39*$I$26+H38*$J$26+H37*$K$26+H36*$L$26+H35*$M$26+H34*$N$26</f>
        <v>83.4234577427333</v>
      </c>
      <c r="G45" s="39" t="n">
        <f aca="false">BY44-Assumptions!$C$110-F44-Assumptions!$C$111*(Assumptions!$C$100+Assumptions!D$98/12+BC44)</f>
        <v>-6261.75333120521</v>
      </c>
      <c r="H45" s="35" t="n">
        <f aca="false">IF(BE44&gt;0,0,MAX(0,MIN(D45,E45,INT(G45/$C$27))))</f>
        <v>0</v>
      </c>
      <c r="I45" s="35" t="n">
        <f aca="false">I44+H45</f>
        <v>33</v>
      </c>
      <c r="J45" s="35" t="n">
        <f aca="false">SUM(H34:H45)</f>
        <v>19</v>
      </c>
      <c r="K45" s="35" t="n">
        <f aca="false">H45*$C$23+H44*$D$23+H43*$E$23+H42*$F$23+H41*$G$23+H40*$H$23+H39*$I$23+H38*$J$23+H37*$K$23+H36*$L$23+H35*$M$23+H34*$N$23</f>
        <v>11.273</v>
      </c>
      <c r="L45" s="35" t="n">
        <f aca="false">SUM(H31:H33)</f>
        <v>14</v>
      </c>
      <c r="M45" s="35" t="n">
        <f aca="false">0</f>
        <v>0</v>
      </c>
      <c r="N45" s="35" t="n">
        <f aca="false">0</f>
        <v>0</v>
      </c>
      <c r="O45" s="35" t="n">
        <f aca="false">0</f>
        <v>0</v>
      </c>
      <c r="P45" s="35" t="n">
        <f aca="false">J45*$C$6+L45*$D$6+M45*$E$6+N45*$F$6+O45*$G$6</f>
        <v>32.58</v>
      </c>
      <c r="Q45" s="39" t="n">
        <f aca="false">K45*$C$7+L45*$D$7+M45*$E$7+N45*$F$7+O45*$G$7</f>
        <v>2545.724272</v>
      </c>
      <c r="R45" s="39" t="n">
        <f aca="false">K45*$C$8+L45*$D$8+M45*$E$8+N45*$F$8+O45*$G$8</f>
        <v>1642.50488064</v>
      </c>
      <c r="S45" s="39" t="n">
        <f aca="false">K45*$C$9+L45*$D$9+M45*$E$9+N45*$F$9+O45*$G$9</f>
        <v>752.8752</v>
      </c>
      <c r="T45" s="39" t="n">
        <f aca="false">K45*$C$10+L45*$D$10+M45*$E$10+N45*$F$10+O45*$G$10</f>
        <v>1091.6279955</v>
      </c>
      <c r="U45" s="39" t="n">
        <f aca="false">K45*$C$11+L45*$D$11+M45*$E$11+N45*$F$11+O45*$G$11</f>
        <v>1092.273</v>
      </c>
      <c r="V45" s="39" t="n">
        <f aca="false">K45*$C$12+L45*$D$12+M45*$E$12+N45*$F$12+O45*$G$12</f>
        <v>0</v>
      </c>
      <c r="W45" s="39" t="n">
        <f aca="false">SUM(Q45:V45)</f>
        <v>7125.00534814</v>
      </c>
      <c r="X45" s="39" t="n">
        <f aca="false">J45*$C$14+L45*$D$14+M45*$E$14+N45*$F$14+O45*$G$14</f>
        <v>1036.55985</v>
      </c>
      <c r="Y45" s="39" t="n">
        <f aca="false">J45*$C$15+L45*$D$15+M45*$E$15+N45*$F$15+O45*$G$15</f>
        <v>814.5</v>
      </c>
      <c r="Z45" s="39" t="n">
        <f aca="false">K45*$C$16+L45*$D$16+M45*$E$16+N45*$F$16+O45*$G$16</f>
        <v>14.40972785</v>
      </c>
      <c r="AA45" s="39" t="n">
        <f aca="false">K45*$C$17+L45*$D$17+M45*$E$17+N45*$F$17+O45*$G$17</f>
        <v>199.62967835456</v>
      </c>
      <c r="AB45" s="39" t="n">
        <f aca="false">J45*$C$18+L45*$D$18+M45*$E$18+N45*$F$18+O45*$G$18</f>
        <v>22.6333333333333</v>
      </c>
      <c r="AC45" s="39" t="n">
        <f aca="false">H45*Assumptions!$C$67*Assumptions!$F$10</f>
        <v>0</v>
      </c>
      <c r="AD45" s="39" t="n">
        <f aca="false">SUM(X45:AC45)</f>
        <v>2087.73258953789</v>
      </c>
      <c r="AE45" s="35" t="n">
        <f aca="false">K45*$C$20+L45*$D$20+M45*$E$20+N45*$F$20+O45*$G$20</f>
        <v>5763.89114</v>
      </c>
      <c r="AF45" s="35" t="n">
        <f aca="false">K45*$C$21+L45*$D$21+M45*$E$21+N45*$F$21+O45*$G$21</f>
        <v>310999.836</v>
      </c>
      <c r="AG45" s="35" t="n">
        <f aca="false">K45*$C$22+L45*$D$22+M45*$E$22+N45*$F$22+O45*$G$22</f>
        <v>268.17490976</v>
      </c>
      <c r="AH45" s="37" t="n">
        <f aca="false">P45/Assumptions!$C$76</f>
        <v>0.03258</v>
      </c>
      <c r="AI45" s="37" t="n">
        <f aca="false">P45/Assumptions!$C$77</f>
        <v>0.03258</v>
      </c>
      <c r="AJ45" s="37" t="n">
        <f aca="false">P45/Assumptions!$C$78</f>
        <v>0.2715</v>
      </c>
      <c r="AK45" s="37" t="n">
        <f aca="false">H45/(Assumptions!$C$19/12)</f>
        <v>0</v>
      </c>
      <c r="AL45" s="37" t="n">
        <f aca="false">Assumptions!D$92</f>
        <v>0</v>
      </c>
      <c r="AM45" s="37" t="n">
        <f aca="false">Assumptions!D$93</f>
        <v>1</v>
      </c>
      <c r="AN45" s="37" t="n">
        <f aca="false">Assumptions!D$94</f>
        <v>0</v>
      </c>
      <c r="AO45" s="37" t="n">
        <f aca="false">SUM(AH45:AN45)</f>
        <v>1.33666</v>
      </c>
      <c r="AP45" s="39" t="n">
        <f aca="false">AH45*Assumptions!$C$85*(1+Assumptions!$C$73)*(1+Assumptions!$C$74)^1/12</f>
        <v>244.689375</v>
      </c>
      <c r="AQ45" s="39" t="n">
        <f aca="false">AI45*Assumptions!$C$86*(1+Assumptions!$C$73)*(1+Assumptions!$C$74)^1/12</f>
        <v>227.2115625</v>
      </c>
      <c r="AR45" s="39" t="n">
        <f aca="false">AJ45*Assumptions!$C$87*(1+Assumptions!$C$73)*(1+Assumptions!$C$74)^1/12</f>
        <v>1602.1328125</v>
      </c>
      <c r="AS45" s="39" t="n">
        <f aca="false">AK45*Assumptions!$C$85*(1+Assumptions!$C$73)*(1+Assumptions!$C$74)^1/12</f>
        <v>0</v>
      </c>
      <c r="AT45" s="39" t="n">
        <f aca="false">AL45*Assumptions!$C$83*(1+Assumptions!$C$73)*(1+Assumptions!$C$74)^1/12</f>
        <v>0</v>
      </c>
      <c r="AU45" s="39" t="n">
        <f aca="false">AM45*Assumptions!$C$84*(1+Assumptions!$C$73)*(1+Assumptions!$C$74)^1/12</f>
        <v>18239.5833333333</v>
      </c>
      <c r="AV45" s="39" t="n">
        <f aca="false">AN45*Assumptions!$C$88*(1+Assumptions!$C$73)*(1+Assumptions!$C$74)^1/12</f>
        <v>0</v>
      </c>
      <c r="AW45" s="39" t="n">
        <f aca="false">SUM(AP45:AV45)</f>
        <v>20313.6170833333</v>
      </c>
      <c r="AX45" s="39" t="n">
        <f aca="false">MIN(Assumptions!$C$80*W44,MAX(0,BS44+BC44))</f>
        <v>2704.2672987032</v>
      </c>
      <c r="AY45" s="39" t="n">
        <f aca="false">IF(SUM(AH45:AK45)&lt;=0,0,MIN(AX45,SUM(AP45:AS45)*MAX(0,1-Assumptions!$C$79/SUM(AH45:AK45))))</f>
        <v>0</v>
      </c>
      <c r="AZ45" s="36" t="n">
        <f aca="false">IF(SUM(AP45:AS45)=0,0,AY45/SUM(AP45:AS45))</f>
        <v>0</v>
      </c>
      <c r="BA45" s="39" t="n">
        <f aca="false">MIN(AX45-AY45,SUM(AT45:AV45))</f>
        <v>2704.2672987032</v>
      </c>
      <c r="BB45" s="36" t="n">
        <f aca="false">IF(SUM(AT45:AV45)=0,0,BA45/SUM(AT45:AV45))</f>
        <v>0.148263655440038</v>
      </c>
      <c r="BC45" s="39" t="n">
        <f aca="false">AY45+BA45</f>
        <v>2704.2672987032</v>
      </c>
      <c r="BD45" s="37" t="n">
        <f aca="false">SUM(AH45:AK45)*AZ45+SUM(AL45:AN45)*BB45</f>
        <v>0.148263655440038</v>
      </c>
      <c r="BE45" s="37" t="n">
        <f aca="false">MAX(0,SUM(AH45:AK45)*(1-AZ45)-Assumptions!$C$79)</f>
        <v>0</v>
      </c>
      <c r="BF45" s="39" t="n">
        <f aca="false">AP45*AZ45</f>
        <v>0</v>
      </c>
      <c r="BG45" s="39" t="n">
        <f aca="false">AQ45*AZ45</f>
        <v>0</v>
      </c>
      <c r="BH45" s="39" t="n">
        <f aca="false">AR45*AZ45</f>
        <v>0</v>
      </c>
      <c r="BI45" s="39" t="n">
        <f aca="false">AS45*AZ45</f>
        <v>0</v>
      </c>
      <c r="BJ45" s="39" t="n">
        <f aca="false">AT45*BB45</f>
        <v>0</v>
      </c>
      <c r="BK45" s="39" t="n">
        <f aca="false">AU45*BB45</f>
        <v>2704.2672987032</v>
      </c>
      <c r="BL45" s="39" t="n">
        <f aca="false">AV45*BB45</f>
        <v>0</v>
      </c>
      <c r="BM45" s="39" t="n">
        <f aca="false">H45*(Assumptions!$C$68+Assumptions!$C$66)*Assumptions!$F$10</f>
        <v>0</v>
      </c>
      <c r="BN45" s="39" t="n">
        <f aca="false">K45*$C$19+L45*$D$19+M45*$E$19+N45*$F$19+O45*$G$19</f>
        <v>0</v>
      </c>
      <c r="BO45" s="39" t="n">
        <f aca="false">Assumptions!$C$99*W45</f>
        <v>142.5001069628</v>
      </c>
      <c r="BP45" s="39" t="n">
        <f aca="false">Assumptions!D$98/12+P45*Assumptions!$C$101/12</f>
        <v>521.5</v>
      </c>
      <c r="BQ45" s="39" t="n">
        <f aca="false">BD45*Assumptions!$C$102/12+Assumptions!$C$100</f>
        <v>137.06591386001</v>
      </c>
      <c r="BR45" s="39" t="n">
        <f aca="false">SUM(BF45:BQ45)</f>
        <v>3505.33331952601</v>
      </c>
      <c r="BS45" s="39" t="n">
        <f aca="false">W45-AD45-BR45</f>
        <v>1531.9394390761</v>
      </c>
      <c r="BT45" s="39" t="n">
        <f aca="false">MAX(0,BD45-BD44)*Assumptions!$C$103</f>
        <v>19.973343588514</v>
      </c>
      <c r="BU45" s="39" t="n">
        <f aca="false">0</f>
        <v>0</v>
      </c>
      <c r="BV45" s="39" t="n">
        <f aca="false">-(W45-W44)*12*Assumptions!$C$108</f>
        <v>-131.16135649752</v>
      </c>
      <c r="BW45" s="39" t="n">
        <f aca="false">0</f>
        <v>0</v>
      </c>
      <c r="BX45" s="39" t="n">
        <f aca="false">BS45-BT45+BU45+BV45+BW45</f>
        <v>1380.80473899006</v>
      </c>
      <c r="BY45" s="29" t="n">
        <f aca="false">BY44+BX45</f>
        <v>8129.1699712729</v>
      </c>
    </row>
    <row r="46" customFormat="false" ht="15" hidden="false" customHeight="false" outlineLevel="0" collapsed="false">
      <c r="A46" s="45" t="n">
        <v>16</v>
      </c>
      <c r="B46" s="45" t="n">
        <v>2028</v>
      </c>
      <c r="C46" s="45" t="n">
        <v>1</v>
      </c>
      <c r="D46" s="35" t="n">
        <f aca="false">ROUND(Assumptions!D$18*Assumptions!$F$7/12,0)</f>
        <v>250</v>
      </c>
      <c r="E46" s="35" t="n">
        <f aca="false">Rollout!$C$10-I45</f>
        <v>8400</v>
      </c>
      <c r="F46" s="39" t="n">
        <f aca="false">H46*$C$26+H45*$D$26+H44*$E$26+H43*$F$26+H42*$G$26+H41*$H$26+H40*$I$26+H39*$J$26+H38*$K$26+H37*$L$26+H36*$M$26+H35*$N$26</f>
        <v>0</v>
      </c>
      <c r="G46" s="39" t="n">
        <f aca="false">BY45-Assumptions!$C$110-F45-Assumptions!$C$111*(Assumptions!$C$100+Assumptions!D$98/12+BC45)</f>
        <v>-5171.32268128263</v>
      </c>
      <c r="H46" s="35" t="n">
        <f aca="false">IF(BE45&gt;0,0,MAX(0,MIN(D46,E46,INT(G46/$C$27))))</f>
        <v>0</v>
      </c>
      <c r="I46" s="35" t="n">
        <f aca="false">I45+H46</f>
        <v>33</v>
      </c>
      <c r="J46" s="35" t="n">
        <f aca="false">SUM(H35:H46)</f>
        <v>19</v>
      </c>
      <c r="K46" s="35" t="n">
        <f aca="false">H46*$C$23+H45*$D$23+H44*$E$23+H43*$F$23+H42*$G$23+H41*$H$23+H40*$I$23+H39*$J$23+H38*$K$23+H37*$L$23+H36*$M$23+H35*$N$23</f>
        <v>14.7277</v>
      </c>
      <c r="L46" s="35" t="n">
        <f aca="false">SUM(H31:H34)</f>
        <v>14</v>
      </c>
      <c r="M46" s="35" t="n">
        <f aca="false">0</f>
        <v>0</v>
      </c>
      <c r="N46" s="35" t="n">
        <f aca="false">0</f>
        <v>0</v>
      </c>
      <c r="O46" s="35" t="n">
        <f aca="false">0</f>
        <v>0</v>
      </c>
      <c r="P46" s="35" t="n">
        <f aca="false">J46*$C$6+L46*$D$6+M46*$E$6+N46*$F$6+O46*$G$6</f>
        <v>32.58</v>
      </c>
      <c r="Q46" s="39" t="n">
        <f aca="false">K46*$C$7+L46*$D$7+M46*$E$7+N46*$F$7+O46*$G$7</f>
        <v>2714.8111088</v>
      </c>
      <c r="R46" s="39" t="n">
        <f aca="false">K46*$C$8+L46*$D$8+M46*$E$8+N46*$F$8+O46*$G$8</f>
        <v>1733.735492736</v>
      </c>
      <c r="S46" s="39" t="n">
        <f aca="false">K46*$C$9+L46*$D$9+M46*$E$9+N46*$F$9+O46*$G$9</f>
        <v>752.8752</v>
      </c>
      <c r="T46" s="39" t="n">
        <f aca="false">K46*$C$10+L46*$D$10+M46*$E$10+N46*$F$10+O46*$G$10</f>
        <v>1123.07785695</v>
      </c>
      <c r="U46" s="39" t="n">
        <f aca="false">K46*$C$11+L46*$D$11+M46*$E$11+N46*$F$11+O46*$G$11</f>
        <v>1164.8217</v>
      </c>
      <c r="V46" s="39" t="n">
        <f aca="false">K46*$C$12+L46*$D$12+M46*$E$12+N46*$F$12+O46*$G$12</f>
        <v>0</v>
      </c>
      <c r="W46" s="39" t="n">
        <f aca="false">SUM(Q46:V46)</f>
        <v>7489.321358486</v>
      </c>
      <c r="X46" s="39" t="n">
        <f aca="false">J46*$C$14+L46*$D$14+M46*$E$14+N46*$F$14+O46*$G$14</f>
        <v>1036.55985</v>
      </c>
      <c r="Y46" s="39" t="n">
        <f aca="false">J46*$C$15+L46*$D$15+M46*$E$15+N46*$F$15+O46*$G$15</f>
        <v>814.5</v>
      </c>
      <c r="Z46" s="39" t="n">
        <f aca="false">K46*$C$16+L46*$D$16+M46*$E$16+N46*$F$16+O46*$G$16</f>
        <v>15.458056565</v>
      </c>
      <c r="AA46" s="39" t="n">
        <f aca="false">K46*$C$17+L46*$D$17+M46*$E$17+N46*$F$17+O46*$G$17</f>
        <v>212.233580311744</v>
      </c>
      <c r="AB46" s="39" t="n">
        <f aca="false">J46*$C$18+L46*$D$18+M46*$E$18+N46*$F$18+O46*$G$18</f>
        <v>22.6333333333333</v>
      </c>
      <c r="AC46" s="39" t="n">
        <f aca="false">H46*Assumptions!$C$67*Assumptions!$F$10</f>
        <v>0</v>
      </c>
      <c r="AD46" s="39" t="n">
        <f aca="false">SUM(X46:AC46)</f>
        <v>2101.38482021008</v>
      </c>
      <c r="AE46" s="35" t="n">
        <f aca="false">K46*$C$20+L46*$D$20+M46*$E$20+N46*$F$20+O46*$G$20</f>
        <v>6183.222626</v>
      </c>
      <c r="AF46" s="35" t="n">
        <f aca="false">K46*$C$21+L46*$D$21+M46*$E$21+N46*$F$21+O46*$G$21</f>
        <v>338955.2684</v>
      </c>
      <c r="AG46" s="35" t="n">
        <f aca="false">K46*$C$22+L46*$D$22+M46*$E$22+N46*$F$22+O46*$G$22</f>
        <v>285.023896224</v>
      </c>
      <c r="AH46" s="37" t="n">
        <f aca="false">P46/Assumptions!$C$76</f>
        <v>0.03258</v>
      </c>
      <c r="AI46" s="37" t="n">
        <f aca="false">P46/Assumptions!$C$77</f>
        <v>0.03258</v>
      </c>
      <c r="AJ46" s="37" t="n">
        <f aca="false">P46/Assumptions!$C$78</f>
        <v>0.2715</v>
      </c>
      <c r="AK46" s="37" t="n">
        <f aca="false">H46/(Assumptions!$C$19/12)</f>
        <v>0</v>
      </c>
      <c r="AL46" s="37" t="n">
        <f aca="false">Assumptions!D$92</f>
        <v>0</v>
      </c>
      <c r="AM46" s="37" t="n">
        <f aca="false">Assumptions!D$93</f>
        <v>1</v>
      </c>
      <c r="AN46" s="37" t="n">
        <f aca="false">Assumptions!D$94</f>
        <v>0</v>
      </c>
      <c r="AO46" s="37" t="n">
        <f aca="false">SUM(AH46:AN46)</f>
        <v>1.33666</v>
      </c>
      <c r="AP46" s="39" t="n">
        <f aca="false">AH46*Assumptions!$C$85*(1+Assumptions!$C$73)*(1+Assumptions!$C$74)^1/12</f>
        <v>244.689375</v>
      </c>
      <c r="AQ46" s="39" t="n">
        <f aca="false">AI46*Assumptions!$C$86*(1+Assumptions!$C$73)*(1+Assumptions!$C$74)^1/12</f>
        <v>227.2115625</v>
      </c>
      <c r="AR46" s="39" t="n">
        <f aca="false">AJ46*Assumptions!$C$87*(1+Assumptions!$C$73)*(1+Assumptions!$C$74)^1/12</f>
        <v>1602.1328125</v>
      </c>
      <c r="AS46" s="39" t="n">
        <f aca="false">AK46*Assumptions!$C$85*(1+Assumptions!$C$73)*(1+Assumptions!$C$74)^1/12</f>
        <v>0</v>
      </c>
      <c r="AT46" s="39" t="n">
        <f aca="false">AL46*Assumptions!$C$83*(1+Assumptions!$C$73)*(1+Assumptions!$C$74)^1/12</f>
        <v>0</v>
      </c>
      <c r="AU46" s="39" t="n">
        <f aca="false">AM46*Assumptions!$C$84*(1+Assumptions!$C$73)*(1+Assumptions!$C$74)^1/12</f>
        <v>18239.5833333333</v>
      </c>
      <c r="AV46" s="39" t="n">
        <f aca="false">AN46*Assumptions!$C$88*(1+Assumptions!$C$73)*(1+Assumptions!$C$74)^1/12</f>
        <v>0</v>
      </c>
      <c r="AW46" s="39" t="n">
        <f aca="false">SUM(AP46:AV46)</f>
        <v>20313.6170833333</v>
      </c>
      <c r="AX46" s="39" t="n">
        <f aca="false">MIN(Assumptions!$C$80*W45,MAX(0,BS45+BC45))</f>
        <v>2850.002139256</v>
      </c>
      <c r="AY46" s="39" t="n">
        <f aca="false">IF(SUM(AH46:AK46)&lt;=0,0,MIN(AX46,SUM(AP46:AS46)*MAX(0,1-Assumptions!$C$79/SUM(AH46:AK46))))</f>
        <v>0</v>
      </c>
      <c r="AZ46" s="36" t="n">
        <f aca="false">IF(SUM(AP46:AS46)=0,0,AY46/SUM(AP46:AS46))</f>
        <v>0</v>
      </c>
      <c r="BA46" s="39" t="n">
        <f aca="false">MIN(AX46-AY46,SUM(AT46:AV46))</f>
        <v>2850.002139256</v>
      </c>
      <c r="BB46" s="36" t="n">
        <f aca="false">IF(SUM(AT46:AV46)=0,0,BA46/SUM(AT46:AV46))</f>
        <v>0.156253686675372</v>
      </c>
      <c r="BC46" s="39" t="n">
        <f aca="false">AY46+BA46</f>
        <v>2850.002139256</v>
      </c>
      <c r="BD46" s="37" t="n">
        <f aca="false">SUM(AH46:AK46)*AZ46+SUM(AL46:AN46)*BB46</f>
        <v>0.156253686675372</v>
      </c>
      <c r="BE46" s="37" t="n">
        <f aca="false">MAX(0,SUM(AH46:AK46)*(1-AZ46)-Assumptions!$C$79)</f>
        <v>0</v>
      </c>
      <c r="BF46" s="39" t="n">
        <f aca="false">AP46*AZ46</f>
        <v>0</v>
      </c>
      <c r="BG46" s="39" t="n">
        <f aca="false">AQ46*AZ46</f>
        <v>0</v>
      </c>
      <c r="BH46" s="39" t="n">
        <f aca="false">AR46*AZ46</f>
        <v>0</v>
      </c>
      <c r="BI46" s="39" t="n">
        <f aca="false">AS46*AZ46</f>
        <v>0</v>
      </c>
      <c r="BJ46" s="39" t="n">
        <f aca="false">AT46*BB46</f>
        <v>0</v>
      </c>
      <c r="BK46" s="39" t="n">
        <f aca="false">AU46*BB46</f>
        <v>2850.002139256</v>
      </c>
      <c r="BL46" s="39" t="n">
        <f aca="false">AV46*BB46</f>
        <v>0</v>
      </c>
      <c r="BM46" s="39" t="n">
        <f aca="false">H46*(Assumptions!$C$68+Assumptions!$C$66)*Assumptions!$F$10</f>
        <v>0</v>
      </c>
      <c r="BN46" s="39" t="n">
        <f aca="false">K46*$C$19+L46*$D$19+M46*$E$19+N46*$F$19+O46*$G$19</f>
        <v>0</v>
      </c>
      <c r="BO46" s="39" t="n">
        <f aca="false">Assumptions!$C$99*W46</f>
        <v>149.78642716972</v>
      </c>
      <c r="BP46" s="39" t="n">
        <f aca="false">Assumptions!D$98/12+P46*Assumptions!$C$101/12</f>
        <v>521.5</v>
      </c>
      <c r="BQ46" s="39" t="n">
        <f aca="false">BD46*Assumptions!$C$102/12+Assumptions!$C$100</f>
        <v>139.063421668843</v>
      </c>
      <c r="BR46" s="39" t="n">
        <f aca="false">SUM(BF46:BQ46)</f>
        <v>3660.35198809456</v>
      </c>
      <c r="BS46" s="39" t="n">
        <f aca="false">W46-AD46-BR46</f>
        <v>1727.58455018136</v>
      </c>
      <c r="BT46" s="39" t="n">
        <f aca="false">MAX(0,BD46-BD45)*Assumptions!$C$103</f>
        <v>19.9750780883336</v>
      </c>
      <c r="BU46" s="39" t="n">
        <f aca="false">0</f>
        <v>0</v>
      </c>
      <c r="BV46" s="39" t="n">
        <f aca="false">-(W46-W45)*12*Assumptions!$C$108</f>
        <v>-131.15376372456</v>
      </c>
      <c r="BW46" s="39" t="n">
        <f aca="false">0</f>
        <v>0</v>
      </c>
      <c r="BX46" s="39" t="n">
        <f aca="false">BS46-BT46+BU46+BV46+BW46</f>
        <v>1576.45570836847</v>
      </c>
      <c r="BY46" s="29" t="n">
        <f aca="false">BY45+BX46</f>
        <v>9705.62567964137</v>
      </c>
    </row>
    <row r="47" customFormat="false" ht="15" hidden="false" customHeight="false" outlineLevel="0" collapsed="false">
      <c r="A47" s="45" t="n">
        <v>17</v>
      </c>
      <c r="B47" s="45" t="n">
        <v>2028</v>
      </c>
      <c r="C47" s="45" t="n">
        <v>1</v>
      </c>
      <c r="D47" s="35" t="n">
        <f aca="false">ROUND(Assumptions!D$18*Assumptions!$F$7/12,0)</f>
        <v>250</v>
      </c>
      <c r="E47" s="35" t="n">
        <f aca="false">Rollout!$C$10-I46</f>
        <v>8400</v>
      </c>
      <c r="F47" s="39" t="n">
        <f aca="false">H47*$C$26+H46*$D$26+H45*$E$26+H44*$F$26+H43*$G$26+H42*$H$26+H41*$I$26+H40*$J$26+H39*$K$26+H38*$L$26+H37*$M$26+H36*$N$26</f>
        <v>0</v>
      </c>
      <c r="G47" s="39" t="n">
        <f aca="false">BY46-Assumptions!$C$110-F46-Assumptions!$C$111*(Assumptions!$C$100+Assumptions!D$98/12+BC46)</f>
        <v>-4094.38287738263</v>
      </c>
      <c r="H47" s="35" t="n">
        <f aca="false">IF(BE46&gt;0,0,MAX(0,MIN(D47,E47,INT(G47/$C$27))))</f>
        <v>0</v>
      </c>
      <c r="I47" s="35" t="n">
        <f aca="false">I46+H47</f>
        <v>33</v>
      </c>
      <c r="J47" s="35" t="n">
        <f aca="false">SUM(H36:H47)</f>
        <v>19</v>
      </c>
      <c r="K47" s="35" t="n">
        <f aca="false">H47*$C$23+H46*$D$23+H45*$E$23+H44*$F$23+H43*$G$23+H42*$H$23+H41*$I$23+H40*$J$23+H39*$K$23+H38*$L$23+H37*$M$23+H36*$N$23</f>
        <v>18.1819</v>
      </c>
      <c r="L47" s="35" t="n">
        <f aca="false">SUM(H31:H35)</f>
        <v>14</v>
      </c>
      <c r="M47" s="35" t="n">
        <f aca="false">0</f>
        <v>0</v>
      </c>
      <c r="N47" s="35" t="n">
        <f aca="false">0</f>
        <v>0</v>
      </c>
      <c r="O47" s="35" t="n">
        <f aca="false">0</f>
        <v>0</v>
      </c>
      <c r="P47" s="35" t="n">
        <f aca="false">J47*$C$6+L47*$D$6+M47*$E$6+N47*$F$6+O47*$G$6</f>
        <v>32.58</v>
      </c>
      <c r="Q47" s="39" t="n">
        <f aca="false">K47*$C$7+L47*$D$7+M47*$E$7+N47*$F$7+O47*$G$7</f>
        <v>2883.8734736</v>
      </c>
      <c r="R47" s="39" t="n">
        <f aca="false">K47*$C$8+L47*$D$8+M47*$E$8+N47*$F$8+O47*$G$8</f>
        <v>1824.952900992</v>
      </c>
      <c r="S47" s="39" t="n">
        <f aca="false">K47*$C$9+L47*$D$9+M47*$E$9+N47*$F$9+O47*$G$9</f>
        <v>752.8752</v>
      </c>
      <c r="T47" s="39" t="n">
        <f aca="false">K47*$C$10+L47*$D$10+M47*$E$10+N47*$F$10+O47*$G$10</f>
        <v>1154.52316665</v>
      </c>
      <c r="U47" s="39" t="n">
        <f aca="false">K47*$C$11+L47*$D$11+M47*$E$11+N47*$F$11+O47*$G$11</f>
        <v>1237.3599</v>
      </c>
      <c r="V47" s="39" t="n">
        <f aca="false">K47*$C$12+L47*$D$12+M47*$E$12+N47*$F$12+O47*$G$12</f>
        <v>0</v>
      </c>
      <c r="W47" s="39" t="n">
        <f aca="false">SUM(Q47:V47)</f>
        <v>7853.584641242</v>
      </c>
      <c r="X47" s="39" t="n">
        <f aca="false">J47*$C$14+L47*$D$14+M47*$E$14+N47*$F$14+O47*$G$14</f>
        <v>1036.55985</v>
      </c>
      <c r="Y47" s="39" t="n">
        <f aca="false">J47*$C$15+L47*$D$15+M47*$E$15+N47*$F$15+O47*$G$15</f>
        <v>814.5</v>
      </c>
      <c r="Z47" s="39" t="n">
        <f aca="false">K47*$C$16+L47*$D$16+M47*$E$16+N47*$F$16+O47*$G$16</f>
        <v>16.506233555</v>
      </c>
      <c r="AA47" s="39" t="n">
        <f aca="false">K47*$C$17+L47*$D$17+M47*$E$17+N47*$F$17+O47*$G$17</f>
        <v>224.835658101568</v>
      </c>
      <c r="AB47" s="39" t="n">
        <f aca="false">J47*$C$18+L47*$D$18+M47*$E$18+N47*$F$18+O47*$G$18</f>
        <v>22.6333333333333</v>
      </c>
      <c r="AC47" s="39" t="n">
        <f aca="false">H47*Assumptions!$C$67*Assumptions!$F$10</f>
        <v>0</v>
      </c>
      <c r="AD47" s="39" t="n">
        <f aca="false">SUM(X47:AC47)</f>
        <v>2115.0350749899</v>
      </c>
      <c r="AE47" s="35" t="n">
        <f aca="false">K47*$C$20+L47*$D$20+M47*$E$20+N47*$F$20+O47*$G$20</f>
        <v>6602.493422</v>
      </c>
      <c r="AF47" s="35" t="n">
        <f aca="false">K47*$C$21+L47*$D$21+M47*$E$21+N47*$F$21+O47*$G$21</f>
        <v>366906.6548</v>
      </c>
      <c r="AG47" s="35" t="n">
        <f aca="false">K47*$C$22+L47*$D$22+M47*$E$22+N47*$F$22+O47*$G$22</f>
        <v>301.870444128</v>
      </c>
      <c r="AH47" s="37" t="n">
        <f aca="false">P47/Assumptions!$C$76</f>
        <v>0.03258</v>
      </c>
      <c r="AI47" s="37" t="n">
        <f aca="false">P47/Assumptions!$C$77</f>
        <v>0.03258</v>
      </c>
      <c r="AJ47" s="37" t="n">
        <f aca="false">P47/Assumptions!$C$78</f>
        <v>0.2715</v>
      </c>
      <c r="AK47" s="37" t="n">
        <f aca="false">H47/(Assumptions!$C$19/12)</f>
        <v>0</v>
      </c>
      <c r="AL47" s="37" t="n">
        <f aca="false">Assumptions!D$92</f>
        <v>0</v>
      </c>
      <c r="AM47" s="37" t="n">
        <f aca="false">Assumptions!D$93</f>
        <v>1</v>
      </c>
      <c r="AN47" s="37" t="n">
        <f aca="false">Assumptions!D$94</f>
        <v>0</v>
      </c>
      <c r="AO47" s="37" t="n">
        <f aca="false">SUM(AH47:AN47)</f>
        <v>1.33666</v>
      </c>
      <c r="AP47" s="39" t="n">
        <f aca="false">AH47*Assumptions!$C$85*(1+Assumptions!$C$73)*(1+Assumptions!$C$74)^1/12</f>
        <v>244.689375</v>
      </c>
      <c r="AQ47" s="39" t="n">
        <f aca="false">AI47*Assumptions!$C$86*(1+Assumptions!$C$73)*(1+Assumptions!$C$74)^1/12</f>
        <v>227.2115625</v>
      </c>
      <c r="AR47" s="39" t="n">
        <f aca="false">AJ47*Assumptions!$C$87*(1+Assumptions!$C$73)*(1+Assumptions!$C$74)^1/12</f>
        <v>1602.1328125</v>
      </c>
      <c r="AS47" s="39" t="n">
        <f aca="false">AK47*Assumptions!$C$85*(1+Assumptions!$C$73)*(1+Assumptions!$C$74)^1/12</f>
        <v>0</v>
      </c>
      <c r="AT47" s="39" t="n">
        <f aca="false">AL47*Assumptions!$C$83*(1+Assumptions!$C$73)*(1+Assumptions!$C$74)^1/12</f>
        <v>0</v>
      </c>
      <c r="AU47" s="39" t="n">
        <f aca="false">AM47*Assumptions!$C$84*(1+Assumptions!$C$73)*(1+Assumptions!$C$74)^1/12</f>
        <v>18239.5833333333</v>
      </c>
      <c r="AV47" s="39" t="n">
        <f aca="false">AN47*Assumptions!$C$88*(1+Assumptions!$C$73)*(1+Assumptions!$C$74)^1/12</f>
        <v>0</v>
      </c>
      <c r="AW47" s="39" t="n">
        <f aca="false">SUM(AP47:AV47)</f>
        <v>20313.6170833333</v>
      </c>
      <c r="AX47" s="39" t="n">
        <f aca="false">MIN(Assumptions!$C$80*W46,MAX(0,BS46+BC46))</f>
        <v>2995.7285433944</v>
      </c>
      <c r="AY47" s="39" t="n">
        <f aca="false">IF(SUM(AH47:AK47)&lt;=0,0,MIN(AX47,SUM(AP47:AS47)*MAX(0,1-Assumptions!$C$79/SUM(AH47:AK47))))</f>
        <v>0</v>
      </c>
      <c r="AZ47" s="36" t="n">
        <f aca="false">IF(SUM(AP47:AS47)=0,0,AY47/SUM(AP47:AS47))</f>
        <v>0</v>
      </c>
      <c r="BA47" s="39" t="n">
        <f aca="false">MIN(AX47-AY47,SUM(AT47:AV47))</f>
        <v>2995.7285433944</v>
      </c>
      <c r="BB47" s="36" t="n">
        <f aca="false">IF(SUM(AT47:AV47)=0,0,BA47/SUM(AT47:AV47))</f>
        <v>0.16424325537742</v>
      </c>
      <c r="BC47" s="39" t="n">
        <f aca="false">AY47+BA47</f>
        <v>2995.7285433944</v>
      </c>
      <c r="BD47" s="37" t="n">
        <f aca="false">SUM(AH47:AK47)*AZ47+SUM(AL47:AN47)*BB47</f>
        <v>0.16424325537742</v>
      </c>
      <c r="BE47" s="37" t="n">
        <f aca="false">MAX(0,SUM(AH47:AK47)*(1-AZ47)-Assumptions!$C$79)</f>
        <v>0</v>
      </c>
      <c r="BF47" s="39" t="n">
        <f aca="false">AP47*AZ47</f>
        <v>0</v>
      </c>
      <c r="BG47" s="39" t="n">
        <f aca="false">AQ47*AZ47</f>
        <v>0</v>
      </c>
      <c r="BH47" s="39" t="n">
        <f aca="false">AR47*AZ47</f>
        <v>0</v>
      </c>
      <c r="BI47" s="39" t="n">
        <f aca="false">AS47*AZ47</f>
        <v>0</v>
      </c>
      <c r="BJ47" s="39" t="n">
        <f aca="false">AT47*BB47</f>
        <v>0</v>
      </c>
      <c r="BK47" s="39" t="n">
        <f aca="false">AU47*BB47</f>
        <v>2995.7285433944</v>
      </c>
      <c r="BL47" s="39" t="n">
        <f aca="false">AV47*BB47</f>
        <v>0</v>
      </c>
      <c r="BM47" s="39" t="n">
        <f aca="false">H47*(Assumptions!$C$68+Assumptions!$C$66)*Assumptions!$F$10</f>
        <v>0</v>
      </c>
      <c r="BN47" s="39" t="n">
        <f aca="false">K47*$C$19+L47*$D$19+M47*$E$19+N47*$F$19+O47*$G$19</f>
        <v>0</v>
      </c>
      <c r="BO47" s="39" t="n">
        <f aca="false">Assumptions!$C$99*W47</f>
        <v>157.07169282484</v>
      </c>
      <c r="BP47" s="39" t="n">
        <f aca="false">Assumptions!D$98/12+P47*Assumptions!$C$101/12</f>
        <v>521.5</v>
      </c>
      <c r="BQ47" s="39" t="n">
        <f aca="false">BD47*Assumptions!$C$102/12+Assumptions!$C$100</f>
        <v>141.060813844355</v>
      </c>
      <c r="BR47" s="39" t="n">
        <f aca="false">SUM(BF47:BQ47)</f>
        <v>3815.3610500636</v>
      </c>
      <c r="BS47" s="39" t="n">
        <f aca="false">W47-AD47-BR47</f>
        <v>1923.1885161885</v>
      </c>
      <c r="BT47" s="39" t="n">
        <f aca="false">MAX(0,BD47-BD46)*Assumptions!$C$103</f>
        <v>19.9739217551205</v>
      </c>
      <c r="BU47" s="39" t="n">
        <f aca="false">0</f>
        <v>0</v>
      </c>
      <c r="BV47" s="39" t="n">
        <f aca="false">-(W47-W46)*12*Assumptions!$C$108</f>
        <v>-131.13478179216</v>
      </c>
      <c r="BW47" s="39" t="n">
        <f aca="false">0</f>
        <v>0</v>
      </c>
      <c r="BX47" s="39" t="n">
        <f aca="false">BS47-BT47+BU47+BV47+BW47</f>
        <v>1772.07981264122</v>
      </c>
      <c r="BY47" s="29" t="n">
        <f aca="false">BY46+BX47</f>
        <v>11477.7054922826</v>
      </c>
    </row>
    <row r="48" customFormat="false" ht="15" hidden="false" customHeight="false" outlineLevel="0" collapsed="false">
      <c r="A48" s="45" t="n">
        <v>18</v>
      </c>
      <c r="B48" s="45" t="n">
        <v>2028</v>
      </c>
      <c r="C48" s="45" t="n">
        <v>1</v>
      </c>
      <c r="D48" s="35" t="n">
        <f aca="false">ROUND(Assumptions!D$18*Assumptions!$F$7/12,0)</f>
        <v>250</v>
      </c>
      <c r="E48" s="35" t="n">
        <f aca="false">Rollout!$C$10-I47</f>
        <v>8400</v>
      </c>
      <c r="F48" s="39" t="n">
        <f aca="false">H48*$C$26+H47*$D$26+H46*$E$26+H45*$F$26+H44*$G$26+H43*$H$26+H42*$I$26+H41*$J$26+H40*$K$26+H39*$L$26+H38*$M$26+H37*$N$26</f>
        <v>0</v>
      </c>
      <c r="G48" s="39" t="n">
        <f aca="false">BY47-Assumptions!$C$110-F47-Assumptions!$C$111*(Assumptions!$C$100+Assumptions!D$98/12+BC47)</f>
        <v>-2905.20868129501</v>
      </c>
      <c r="H48" s="35" t="n">
        <f aca="false">IF(BE47&gt;0,0,MAX(0,MIN(D48,E48,INT(G48/$C$27))))</f>
        <v>0</v>
      </c>
      <c r="I48" s="35" t="n">
        <f aca="false">I47+H48</f>
        <v>33</v>
      </c>
      <c r="J48" s="35" t="n">
        <f aca="false">SUM(H37:H48)</f>
        <v>19</v>
      </c>
      <c r="K48" s="35" t="n">
        <f aca="false">H48*$C$23+H47*$D$23+H46*$E$23+H45*$F$23+H44*$G$23+H43*$H$23+H42*$I$23+H41*$J$23+H40*$K$23+H39*$L$23+H38*$M$23+H37*$N$23</f>
        <v>21.6361</v>
      </c>
      <c r="L48" s="35" t="n">
        <f aca="false">SUM(H31:H36)</f>
        <v>14</v>
      </c>
      <c r="M48" s="35" t="n">
        <f aca="false">0</f>
        <v>0</v>
      </c>
      <c r="N48" s="35" t="n">
        <f aca="false">0</f>
        <v>0</v>
      </c>
      <c r="O48" s="35" t="n">
        <f aca="false">0</f>
        <v>0</v>
      </c>
      <c r="P48" s="35" t="n">
        <f aca="false">J48*$C$6+L48*$D$6+M48*$E$6+N48*$F$6+O48*$G$6</f>
        <v>32.58</v>
      </c>
      <c r="Q48" s="39" t="n">
        <f aca="false">K48*$C$7+L48*$D$7+M48*$E$7+N48*$F$7+O48*$G$7</f>
        <v>3052.9358384</v>
      </c>
      <c r="R48" s="39" t="n">
        <f aca="false">K48*$C$8+L48*$D$8+M48*$E$8+N48*$F$8+O48*$G$8</f>
        <v>1916.170309248</v>
      </c>
      <c r="S48" s="39" t="n">
        <f aca="false">K48*$C$9+L48*$D$9+M48*$E$9+N48*$F$9+O48*$G$9</f>
        <v>752.8752</v>
      </c>
      <c r="T48" s="39" t="n">
        <f aca="false">K48*$C$10+L48*$D$10+M48*$E$10+N48*$F$10+O48*$G$10</f>
        <v>1185.96847635</v>
      </c>
      <c r="U48" s="39" t="n">
        <f aca="false">K48*$C$11+L48*$D$11+M48*$E$11+N48*$F$11+O48*$G$11</f>
        <v>1309.8981</v>
      </c>
      <c r="V48" s="39" t="n">
        <f aca="false">K48*$C$12+L48*$D$12+M48*$E$12+N48*$F$12+O48*$G$12</f>
        <v>0</v>
      </c>
      <c r="W48" s="39" t="n">
        <f aca="false">SUM(Q48:V48)</f>
        <v>8217.847923998</v>
      </c>
      <c r="X48" s="39" t="n">
        <f aca="false">J48*$C$14+L48*$D$14+M48*$E$14+N48*$F$14+O48*$G$14</f>
        <v>1036.55985</v>
      </c>
      <c r="Y48" s="39" t="n">
        <f aca="false">J48*$C$15+L48*$D$15+M48*$E$15+N48*$F$15+O48*$G$15</f>
        <v>814.5</v>
      </c>
      <c r="Z48" s="39" t="n">
        <f aca="false">K48*$C$16+L48*$D$16+M48*$E$16+N48*$F$16+O48*$G$16</f>
        <v>17.554410545</v>
      </c>
      <c r="AA48" s="39" t="n">
        <f aca="false">K48*$C$17+L48*$D$17+M48*$E$17+N48*$F$17+O48*$G$17</f>
        <v>237.437735891392</v>
      </c>
      <c r="AB48" s="39" t="n">
        <f aca="false">J48*$C$18+L48*$D$18+M48*$E$18+N48*$F$18+O48*$G$18</f>
        <v>22.6333333333333</v>
      </c>
      <c r="AC48" s="39" t="n">
        <f aca="false">H48*Assumptions!$C$67*Assumptions!$F$10</f>
        <v>0</v>
      </c>
      <c r="AD48" s="39" t="n">
        <f aca="false">SUM(X48:AC48)</f>
        <v>2128.68532976973</v>
      </c>
      <c r="AE48" s="35" t="n">
        <f aca="false">K48*$C$20+L48*$D$20+M48*$E$20+N48*$F$20+O48*$G$20</f>
        <v>7021.764218</v>
      </c>
      <c r="AF48" s="35" t="n">
        <f aca="false">K48*$C$21+L48*$D$21+M48*$E$21+N48*$F$21+O48*$G$21</f>
        <v>394858.0412</v>
      </c>
      <c r="AG48" s="35" t="n">
        <f aca="false">K48*$C$22+L48*$D$22+M48*$E$22+N48*$F$22+O48*$G$22</f>
        <v>318.716992032</v>
      </c>
      <c r="AH48" s="37" t="n">
        <f aca="false">P48/Assumptions!$C$76</f>
        <v>0.03258</v>
      </c>
      <c r="AI48" s="37" t="n">
        <f aca="false">P48/Assumptions!$C$77</f>
        <v>0.03258</v>
      </c>
      <c r="AJ48" s="37" t="n">
        <f aca="false">P48/Assumptions!$C$78</f>
        <v>0.2715</v>
      </c>
      <c r="AK48" s="37" t="n">
        <f aca="false">H48/(Assumptions!$C$19/12)</f>
        <v>0</v>
      </c>
      <c r="AL48" s="37" t="n">
        <f aca="false">Assumptions!D$92</f>
        <v>0</v>
      </c>
      <c r="AM48" s="37" t="n">
        <f aca="false">Assumptions!D$93</f>
        <v>1</v>
      </c>
      <c r="AN48" s="37" t="n">
        <f aca="false">Assumptions!D$94</f>
        <v>0</v>
      </c>
      <c r="AO48" s="37" t="n">
        <f aca="false">SUM(AH48:AN48)</f>
        <v>1.33666</v>
      </c>
      <c r="AP48" s="39" t="n">
        <f aca="false">AH48*Assumptions!$C$85*(1+Assumptions!$C$73)*(1+Assumptions!$C$74)^1/12</f>
        <v>244.689375</v>
      </c>
      <c r="AQ48" s="39" t="n">
        <f aca="false">AI48*Assumptions!$C$86*(1+Assumptions!$C$73)*(1+Assumptions!$C$74)^1/12</f>
        <v>227.2115625</v>
      </c>
      <c r="AR48" s="39" t="n">
        <f aca="false">AJ48*Assumptions!$C$87*(1+Assumptions!$C$73)*(1+Assumptions!$C$74)^1/12</f>
        <v>1602.1328125</v>
      </c>
      <c r="AS48" s="39" t="n">
        <f aca="false">AK48*Assumptions!$C$85*(1+Assumptions!$C$73)*(1+Assumptions!$C$74)^1/12</f>
        <v>0</v>
      </c>
      <c r="AT48" s="39" t="n">
        <f aca="false">AL48*Assumptions!$C$83*(1+Assumptions!$C$73)*(1+Assumptions!$C$74)^1/12</f>
        <v>0</v>
      </c>
      <c r="AU48" s="39" t="n">
        <f aca="false">AM48*Assumptions!$C$84*(1+Assumptions!$C$73)*(1+Assumptions!$C$74)^1/12</f>
        <v>18239.5833333333</v>
      </c>
      <c r="AV48" s="39" t="n">
        <f aca="false">AN48*Assumptions!$C$88*(1+Assumptions!$C$73)*(1+Assumptions!$C$74)^1/12</f>
        <v>0</v>
      </c>
      <c r="AW48" s="39" t="n">
        <f aca="false">SUM(AP48:AV48)</f>
        <v>20313.6170833333</v>
      </c>
      <c r="AX48" s="39" t="n">
        <f aca="false">MIN(Assumptions!$C$80*W47,MAX(0,BS47+BC47))</f>
        <v>3141.4338564968</v>
      </c>
      <c r="AY48" s="39" t="n">
        <f aca="false">IF(SUM(AH48:AK48)&lt;=0,0,MIN(AX48,SUM(AP48:AS48)*MAX(0,1-Assumptions!$C$79/SUM(AH48:AK48))))</f>
        <v>0</v>
      </c>
      <c r="AZ48" s="36" t="n">
        <f aca="false">IF(SUM(AP48:AS48)=0,0,AY48/SUM(AP48:AS48))</f>
        <v>0</v>
      </c>
      <c r="BA48" s="39" t="n">
        <f aca="false">MIN(AX48-AY48,SUM(AT48:AV48))</f>
        <v>3141.4338564968</v>
      </c>
      <c r="BB48" s="36" t="n">
        <f aca="false">IF(SUM(AT48:AV48)=0,0,BA48/SUM(AT48:AV48))</f>
        <v>0.172231667746255</v>
      </c>
      <c r="BC48" s="39" t="n">
        <f aca="false">AY48+BA48</f>
        <v>3141.4338564968</v>
      </c>
      <c r="BD48" s="37" t="n">
        <f aca="false">SUM(AH48:AK48)*AZ48+SUM(AL48:AN48)*BB48</f>
        <v>0.172231667746255</v>
      </c>
      <c r="BE48" s="37" t="n">
        <f aca="false">MAX(0,SUM(AH48:AK48)*(1-AZ48)-Assumptions!$C$79)</f>
        <v>0</v>
      </c>
      <c r="BF48" s="39" t="n">
        <f aca="false">AP48*AZ48</f>
        <v>0</v>
      </c>
      <c r="BG48" s="39" t="n">
        <f aca="false">AQ48*AZ48</f>
        <v>0</v>
      </c>
      <c r="BH48" s="39" t="n">
        <f aca="false">AR48*AZ48</f>
        <v>0</v>
      </c>
      <c r="BI48" s="39" t="n">
        <f aca="false">AS48*AZ48</f>
        <v>0</v>
      </c>
      <c r="BJ48" s="39" t="n">
        <f aca="false">AT48*BB48</f>
        <v>0</v>
      </c>
      <c r="BK48" s="39" t="n">
        <f aca="false">AU48*BB48</f>
        <v>3141.4338564968</v>
      </c>
      <c r="BL48" s="39" t="n">
        <f aca="false">AV48*BB48</f>
        <v>0</v>
      </c>
      <c r="BM48" s="39" t="n">
        <f aca="false">H48*(Assumptions!$C$68+Assumptions!$C$66)*Assumptions!$F$10</f>
        <v>0</v>
      </c>
      <c r="BN48" s="39" t="n">
        <f aca="false">K48*$C$19+L48*$D$19+M48*$E$19+N48*$F$19+O48*$G$19</f>
        <v>0</v>
      </c>
      <c r="BO48" s="39" t="n">
        <f aca="false">Assumptions!$C$99*W48</f>
        <v>164.35695847996</v>
      </c>
      <c r="BP48" s="39" t="n">
        <f aca="false">Assumptions!D$98/12+P48*Assumptions!$C$101/12</f>
        <v>521.5</v>
      </c>
      <c r="BQ48" s="39" t="n">
        <f aca="false">BD48*Assumptions!$C$102/12+Assumptions!$C$100</f>
        <v>143.057916936564</v>
      </c>
      <c r="BR48" s="39" t="n">
        <f aca="false">SUM(BF48:BQ48)</f>
        <v>3970.34873191332</v>
      </c>
      <c r="BS48" s="39" t="n">
        <f aca="false">W48-AD48-BR48</f>
        <v>2118.81386231495</v>
      </c>
      <c r="BT48" s="39" t="n">
        <f aca="false">MAX(0,BD48-BD47)*Assumptions!$C$103</f>
        <v>19.971030922088</v>
      </c>
      <c r="BU48" s="39" t="n">
        <f aca="false">0</f>
        <v>0</v>
      </c>
      <c r="BV48" s="39" t="n">
        <f aca="false">-(W48-W47)*12*Assumptions!$C$108</f>
        <v>-131.13478179216</v>
      </c>
      <c r="BW48" s="39" t="n">
        <f aca="false">0</f>
        <v>0</v>
      </c>
      <c r="BX48" s="39" t="n">
        <f aca="false">BS48-BT48+BU48+BV48+BW48</f>
        <v>1967.7080496007</v>
      </c>
      <c r="BY48" s="29" t="n">
        <f aca="false">BY47+BX48</f>
        <v>13445.4135418833</v>
      </c>
    </row>
    <row r="49" customFormat="false" ht="15" hidden="false" customHeight="false" outlineLevel="0" collapsed="false">
      <c r="A49" s="45" t="n">
        <v>19</v>
      </c>
      <c r="B49" s="45" t="n">
        <v>2028</v>
      </c>
      <c r="C49" s="45" t="n">
        <v>1</v>
      </c>
      <c r="D49" s="35" t="n">
        <f aca="false">ROUND(Assumptions!D$18*Assumptions!$F$7/12,0)</f>
        <v>250</v>
      </c>
      <c r="E49" s="35" t="n">
        <f aca="false">Rollout!$C$10-I48</f>
        <v>8400</v>
      </c>
      <c r="F49" s="39" t="n">
        <f aca="false">H49*$C$26+H48*$D$26+H47*$E$26+H46*$F$26+H45*$G$26+H44*$H$26+H43*$I$26+H42*$J$26+H41*$K$26+H40*$L$26+H39*$M$26+H38*$N$26</f>
        <v>0</v>
      </c>
      <c r="G49" s="39" t="n">
        <f aca="false">BY48-Assumptions!$C$110-F48-Assumptions!$C$111*(Assumptions!$C$100+Assumptions!D$98/12+BC48)</f>
        <v>-1520.32188410391</v>
      </c>
      <c r="H49" s="35" t="n">
        <f aca="false">IF(BE48&gt;0,0,MAX(0,MIN(D49,E49,INT(G49/$C$27))))</f>
        <v>0</v>
      </c>
      <c r="I49" s="35" t="n">
        <f aca="false">I48+H49</f>
        <v>33</v>
      </c>
      <c r="J49" s="35" t="n">
        <f aca="false">SUM(H38:H49)</f>
        <v>19</v>
      </c>
      <c r="K49" s="35" t="n">
        <f aca="false">H49*$C$23+H48*$D$23+H47*$E$23+H46*$F$23+H45*$G$23+H44*$H$23+H43*$I$23+H42*$J$23+H41*$K$23+H40*$L$23+H39*$M$23+H38*$N$23</f>
        <v>25.0906</v>
      </c>
      <c r="L49" s="35" t="n">
        <f aca="false">SUM(H31:H37)</f>
        <v>14</v>
      </c>
      <c r="M49" s="35" t="n">
        <f aca="false">0</f>
        <v>0</v>
      </c>
      <c r="N49" s="35" t="n">
        <f aca="false">0</f>
        <v>0</v>
      </c>
      <c r="O49" s="35" t="n">
        <f aca="false">0</f>
        <v>0</v>
      </c>
      <c r="P49" s="35" t="n">
        <f aca="false">J49*$C$6+L49*$D$6+M49*$E$6+N49*$F$6+O49*$G$6</f>
        <v>32.58</v>
      </c>
      <c r="Q49" s="39" t="n">
        <f aca="false">K49*$C$7+L49*$D$7+M49*$E$7+N49*$F$7+O49*$G$7</f>
        <v>3222.0128864</v>
      </c>
      <c r="R49" s="39" t="n">
        <f aca="false">K49*$C$8+L49*$D$8+M49*$E$8+N49*$F$8+O49*$G$8</f>
        <v>2007.395639808</v>
      </c>
      <c r="S49" s="39" t="n">
        <f aca="false">K49*$C$9+L49*$D$9+M49*$E$9+N49*$F$9+O49*$G$9</f>
        <v>752.8752</v>
      </c>
      <c r="T49" s="39" t="n">
        <f aca="false">K49*$C$10+L49*$D$10+M49*$E$10+N49*$F$10+O49*$G$10</f>
        <v>1217.4165171</v>
      </c>
      <c r="U49" s="39" t="n">
        <f aca="false">K49*$C$11+L49*$D$11+M49*$E$11+N49*$F$11+O49*$G$11</f>
        <v>1382.4426</v>
      </c>
      <c r="V49" s="39" t="n">
        <f aca="false">K49*$C$12+L49*$D$12+M49*$E$12+N49*$F$12+O49*$G$12</f>
        <v>0</v>
      </c>
      <c r="W49" s="39" t="n">
        <f aca="false">SUM(Q49:V49)</f>
        <v>8582.142843308</v>
      </c>
      <c r="X49" s="39" t="n">
        <f aca="false">J49*$C$14+L49*$D$14+M49*$E$14+N49*$F$14+O49*$G$14</f>
        <v>1036.55985</v>
      </c>
      <c r="Y49" s="39" t="n">
        <f aca="false">J49*$C$15+L49*$D$15+M49*$E$15+N49*$F$15+O49*$G$15</f>
        <v>814.5</v>
      </c>
      <c r="Z49" s="39" t="n">
        <f aca="false">K49*$C$16+L49*$D$16+M49*$E$16+N49*$F$16+O49*$G$16</f>
        <v>18.60267857</v>
      </c>
      <c r="AA49" s="39" t="n">
        <f aca="false">K49*$C$17+L49*$D$17+M49*$E$17+N49*$F$17+O49*$G$17</f>
        <v>250.040908181632</v>
      </c>
      <c r="AB49" s="39" t="n">
        <f aca="false">J49*$C$18+L49*$D$18+M49*$E$18+N49*$F$18+O49*$G$18</f>
        <v>22.6333333333333</v>
      </c>
      <c r="AC49" s="39" t="n">
        <f aca="false">H49*Assumptions!$C$67*Assumptions!$F$10</f>
        <v>0</v>
      </c>
      <c r="AD49" s="39" t="n">
        <f aca="false">SUM(X49:AC49)</f>
        <v>2142.33677008497</v>
      </c>
      <c r="AE49" s="35" t="n">
        <f aca="false">K49*$C$20+L49*$D$20+M49*$E$20+N49*$F$20+O49*$G$20</f>
        <v>7441.071428</v>
      </c>
      <c r="AF49" s="35" t="n">
        <f aca="false">K49*$C$21+L49*$D$21+M49*$E$21+N49*$F$21+O49*$G$21</f>
        <v>422811.8552</v>
      </c>
      <c r="AG49" s="35" t="n">
        <f aca="false">K49*$C$22+L49*$D$22+M49*$E$22+N49*$F$22+O49*$G$22</f>
        <v>335.565003072</v>
      </c>
      <c r="AH49" s="37" t="n">
        <f aca="false">P49/Assumptions!$C$76</f>
        <v>0.03258</v>
      </c>
      <c r="AI49" s="37" t="n">
        <f aca="false">P49/Assumptions!$C$77</f>
        <v>0.03258</v>
      </c>
      <c r="AJ49" s="37" t="n">
        <f aca="false">P49/Assumptions!$C$78</f>
        <v>0.2715</v>
      </c>
      <c r="AK49" s="37" t="n">
        <f aca="false">H49/(Assumptions!$C$19/12)</f>
        <v>0</v>
      </c>
      <c r="AL49" s="37" t="n">
        <f aca="false">Assumptions!D$92</f>
        <v>0</v>
      </c>
      <c r="AM49" s="37" t="n">
        <f aca="false">Assumptions!D$93</f>
        <v>1</v>
      </c>
      <c r="AN49" s="37" t="n">
        <f aca="false">Assumptions!D$94</f>
        <v>0</v>
      </c>
      <c r="AO49" s="37" t="n">
        <f aca="false">SUM(AH49:AN49)</f>
        <v>1.33666</v>
      </c>
      <c r="AP49" s="39" t="n">
        <f aca="false">AH49*Assumptions!$C$85*(1+Assumptions!$C$73)*(1+Assumptions!$C$74)^1/12</f>
        <v>244.689375</v>
      </c>
      <c r="AQ49" s="39" t="n">
        <f aca="false">AI49*Assumptions!$C$86*(1+Assumptions!$C$73)*(1+Assumptions!$C$74)^1/12</f>
        <v>227.2115625</v>
      </c>
      <c r="AR49" s="39" t="n">
        <f aca="false">AJ49*Assumptions!$C$87*(1+Assumptions!$C$73)*(1+Assumptions!$C$74)^1/12</f>
        <v>1602.1328125</v>
      </c>
      <c r="AS49" s="39" t="n">
        <f aca="false">AK49*Assumptions!$C$85*(1+Assumptions!$C$73)*(1+Assumptions!$C$74)^1/12</f>
        <v>0</v>
      </c>
      <c r="AT49" s="39" t="n">
        <f aca="false">AL49*Assumptions!$C$83*(1+Assumptions!$C$73)*(1+Assumptions!$C$74)^1/12</f>
        <v>0</v>
      </c>
      <c r="AU49" s="39" t="n">
        <f aca="false">AM49*Assumptions!$C$84*(1+Assumptions!$C$73)*(1+Assumptions!$C$74)^1/12</f>
        <v>18239.5833333333</v>
      </c>
      <c r="AV49" s="39" t="n">
        <f aca="false">AN49*Assumptions!$C$88*(1+Assumptions!$C$73)*(1+Assumptions!$C$74)^1/12</f>
        <v>0</v>
      </c>
      <c r="AW49" s="39" t="n">
        <f aca="false">SUM(AP49:AV49)</f>
        <v>20313.6170833333</v>
      </c>
      <c r="AX49" s="39" t="n">
        <f aca="false">MIN(Assumptions!$C$80*W48,MAX(0,BS48+BC48))</f>
        <v>3287.1391695992</v>
      </c>
      <c r="AY49" s="39" t="n">
        <f aca="false">IF(SUM(AH49:AK49)&lt;=0,0,MIN(AX49,SUM(AP49:AS49)*MAX(0,1-Assumptions!$C$79/SUM(AH49:AK49))))</f>
        <v>0</v>
      </c>
      <c r="AZ49" s="36" t="n">
        <f aca="false">IF(SUM(AP49:AS49)=0,0,AY49/SUM(AP49:AS49))</f>
        <v>0</v>
      </c>
      <c r="BA49" s="39" t="n">
        <f aca="false">MIN(AX49-AY49,SUM(AT49:AV49))</f>
        <v>3287.1391695992</v>
      </c>
      <c r="BB49" s="36" t="n">
        <f aca="false">IF(SUM(AT49:AV49)=0,0,BA49/SUM(AT49:AV49))</f>
        <v>0.18022008011509</v>
      </c>
      <c r="BC49" s="39" t="n">
        <f aca="false">AY49+BA49</f>
        <v>3287.1391695992</v>
      </c>
      <c r="BD49" s="37" t="n">
        <f aca="false">SUM(AH49:AK49)*AZ49+SUM(AL49:AN49)*BB49</f>
        <v>0.18022008011509</v>
      </c>
      <c r="BE49" s="37" t="n">
        <f aca="false">MAX(0,SUM(AH49:AK49)*(1-AZ49)-Assumptions!$C$79)</f>
        <v>0</v>
      </c>
      <c r="BF49" s="39" t="n">
        <f aca="false">AP49*AZ49</f>
        <v>0</v>
      </c>
      <c r="BG49" s="39" t="n">
        <f aca="false">AQ49*AZ49</f>
        <v>0</v>
      </c>
      <c r="BH49" s="39" t="n">
        <f aca="false">AR49*AZ49</f>
        <v>0</v>
      </c>
      <c r="BI49" s="39" t="n">
        <f aca="false">AS49*AZ49</f>
        <v>0</v>
      </c>
      <c r="BJ49" s="39" t="n">
        <f aca="false">AT49*BB49</f>
        <v>0</v>
      </c>
      <c r="BK49" s="39" t="n">
        <f aca="false">AU49*BB49</f>
        <v>3287.1391695992</v>
      </c>
      <c r="BL49" s="39" t="n">
        <f aca="false">AV49*BB49</f>
        <v>0</v>
      </c>
      <c r="BM49" s="39" t="n">
        <f aca="false">H49*(Assumptions!$C$68+Assumptions!$C$66)*Assumptions!$F$10</f>
        <v>0</v>
      </c>
      <c r="BN49" s="39" t="n">
        <f aca="false">K49*$C$19+L49*$D$19+M49*$E$19+N49*$F$19+O49*$G$19</f>
        <v>0</v>
      </c>
      <c r="BO49" s="39" t="n">
        <f aca="false">Assumptions!$C$99*W49</f>
        <v>171.64285686616</v>
      </c>
      <c r="BP49" s="39" t="n">
        <f aca="false">Assumptions!D$98/12+P49*Assumptions!$C$101/12</f>
        <v>521.5</v>
      </c>
      <c r="BQ49" s="39" t="n">
        <f aca="false">BD49*Assumptions!$C$102/12+Assumptions!$C$100</f>
        <v>145.055020028773</v>
      </c>
      <c r="BR49" s="39" t="n">
        <f aca="false">SUM(BF49:BQ49)</f>
        <v>4125.33704649413</v>
      </c>
      <c r="BS49" s="39" t="n">
        <f aca="false">W49-AD49-BR49</f>
        <v>2314.4690267289</v>
      </c>
      <c r="BT49" s="39" t="n">
        <f aca="false">MAX(0,BD49-BD48)*Assumptions!$C$103</f>
        <v>19.9710309220878</v>
      </c>
      <c r="BU49" s="39" t="n">
        <f aca="false">0</f>
        <v>0</v>
      </c>
      <c r="BV49" s="39" t="n">
        <f aca="false">-(W49-W48)*12*Assumptions!$C$108</f>
        <v>-131.1461709516</v>
      </c>
      <c r="BW49" s="39" t="n">
        <f aca="false">0</f>
        <v>0</v>
      </c>
      <c r="BX49" s="39" t="n">
        <f aca="false">BS49-BT49+BU49+BV49+BW49</f>
        <v>2163.35182485522</v>
      </c>
      <c r="BY49" s="29" t="n">
        <f aca="false">BY48+BX49</f>
        <v>15608.7653667385</v>
      </c>
    </row>
    <row r="50" customFormat="false" ht="15" hidden="false" customHeight="false" outlineLevel="0" collapsed="false">
      <c r="A50" s="45" t="n">
        <v>20</v>
      </c>
      <c r="B50" s="45" t="n">
        <v>2028</v>
      </c>
      <c r="C50" s="45" t="n">
        <v>1</v>
      </c>
      <c r="D50" s="35" t="n">
        <f aca="false">ROUND(Assumptions!D$18*Assumptions!$F$7/12,0)</f>
        <v>250</v>
      </c>
      <c r="E50" s="35" t="n">
        <f aca="false">Rollout!$C$10-I49</f>
        <v>8400</v>
      </c>
      <c r="F50" s="39" t="n">
        <f aca="false">H50*$C$26+H49*$D$26+H48*$E$26+H47*$F$26+H46*$G$26+H45*$H$26+H44*$I$26+H43*$J$26+H42*$K$26+H41*$L$26+H40*$M$26+H39*$N$26</f>
        <v>0</v>
      </c>
      <c r="G50" s="39" t="n">
        <f aca="false">BY49-Assumptions!$C$110-F49-Assumptions!$C$111*(Assumptions!$C$100+Assumptions!D$98/12+BC49)</f>
        <v>60.2086883417105</v>
      </c>
      <c r="H50" s="35" t="n">
        <f aca="false">IF(BE49&gt;0,0,MAX(0,MIN(D50,E50,INT(G50/$C$27))))</f>
        <v>0</v>
      </c>
      <c r="I50" s="35" t="n">
        <f aca="false">I49+H50</f>
        <v>33</v>
      </c>
      <c r="J50" s="35" t="n">
        <f aca="false">SUM(H39:H50)</f>
        <v>19</v>
      </c>
      <c r="K50" s="35" t="n">
        <f aca="false">H50*$C$23+H49*$D$23+H48*$E$23+H47*$F$23+H46*$G$23+H45*$H$23+H44*$I$23+H43*$J$23+H42*$K$23+H41*$L$23+H40*$M$23+H39*$N$23</f>
        <v>28.5452</v>
      </c>
      <c r="L50" s="35" t="n">
        <f aca="false">SUM(H31:H38)</f>
        <v>14</v>
      </c>
      <c r="M50" s="35" t="n">
        <f aca="false">0</f>
        <v>0</v>
      </c>
      <c r="N50" s="35" t="n">
        <f aca="false">0</f>
        <v>0</v>
      </c>
      <c r="O50" s="35" t="n">
        <f aca="false">0</f>
        <v>0</v>
      </c>
      <c r="P50" s="35" t="n">
        <f aca="false">J50*$C$6+L50*$D$6+M50*$E$6+N50*$F$6+O50*$G$6</f>
        <v>32.58</v>
      </c>
      <c r="Q50" s="39" t="n">
        <f aca="false">K50*$C$7+L50*$D$7+M50*$E$7+N50*$F$7+O50*$G$7</f>
        <v>3391.0948288</v>
      </c>
      <c r="R50" s="39" t="n">
        <f aca="false">K50*$C$8+L50*$D$8+M50*$E$8+N50*$F$8+O50*$G$8</f>
        <v>2098.623611136</v>
      </c>
      <c r="S50" s="39" t="n">
        <f aca="false">K50*$C$9+L50*$D$9+M50*$E$9+N50*$F$9+O50*$G$9</f>
        <v>752.8752</v>
      </c>
      <c r="T50" s="39" t="n">
        <f aca="false">K50*$C$10+L50*$D$10+M50*$E$10+N50*$F$10+O50*$G$10</f>
        <v>1248.8654682</v>
      </c>
      <c r="U50" s="39" t="n">
        <f aca="false">K50*$C$11+L50*$D$11+M50*$E$11+N50*$F$11+O50*$G$11</f>
        <v>1454.9892</v>
      </c>
      <c r="V50" s="39" t="n">
        <f aca="false">K50*$C$12+L50*$D$12+M50*$E$12+N50*$F$12+O50*$G$12</f>
        <v>0</v>
      </c>
      <c r="W50" s="39" t="n">
        <f aca="false">SUM(Q50:V50)</f>
        <v>8946.448308136</v>
      </c>
      <c r="X50" s="39" t="n">
        <f aca="false">J50*$C$14+L50*$D$14+M50*$E$14+N50*$F$14+O50*$G$14</f>
        <v>1036.55985</v>
      </c>
      <c r="Y50" s="39" t="n">
        <f aca="false">J50*$C$15+L50*$D$15+M50*$E$15+N50*$F$15+O50*$G$15</f>
        <v>814.5</v>
      </c>
      <c r="Z50" s="39" t="n">
        <f aca="false">K50*$C$16+L50*$D$16+M50*$E$16+N50*$F$16+O50*$G$16</f>
        <v>19.65097694</v>
      </c>
      <c r="AA50" s="39" t="n">
        <f aca="false">K50*$C$17+L50*$D$17+M50*$E$17+N50*$F$17+O50*$G$17</f>
        <v>262.644445305344</v>
      </c>
      <c r="AB50" s="39" t="n">
        <f aca="false">J50*$C$18+L50*$D$18+M50*$E$18+N50*$F$18+O50*$G$18</f>
        <v>22.6333333333333</v>
      </c>
      <c r="AC50" s="39" t="n">
        <f aca="false">H50*Assumptions!$C$67*Assumptions!$F$10</f>
        <v>0</v>
      </c>
      <c r="AD50" s="39" t="n">
        <f aca="false">SUM(X50:AC50)</f>
        <v>2155.98860557868</v>
      </c>
      <c r="AE50" s="35" t="n">
        <f aca="false">K50*$C$20+L50*$D$20+M50*$E$20+N50*$F$20+O50*$G$20</f>
        <v>7860.390776</v>
      </c>
      <c r="AF50" s="35" t="n">
        <f aca="false">K50*$C$21+L50*$D$21+M50*$E$21+N50*$F$21+O50*$G$21</f>
        <v>450766.4784</v>
      </c>
      <c r="AG50" s="35" t="n">
        <f aca="false">K50*$C$22+L50*$D$22+M50*$E$22+N50*$F$22+O50*$G$22</f>
        <v>352.413501824</v>
      </c>
      <c r="AH50" s="37" t="n">
        <f aca="false">P50/Assumptions!$C$76</f>
        <v>0.03258</v>
      </c>
      <c r="AI50" s="37" t="n">
        <f aca="false">P50/Assumptions!$C$77</f>
        <v>0.03258</v>
      </c>
      <c r="AJ50" s="37" t="n">
        <f aca="false">P50/Assumptions!$C$78</f>
        <v>0.2715</v>
      </c>
      <c r="AK50" s="37" t="n">
        <f aca="false">H50/(Assumptions!$C$19/12)</f>
        <v>0</v>
      </c>
      <c r="AL50" s="37" t="n">
        <f aca="false">Assumptions!D$92</f>
        <v>0</v>
      </c>
      <c r="AM50" s="37" t="n">
        <f aca="false">Assumptions!D$93</f>
        <v>1</v>
      </c>
      <c r="AN50" s="37" t="n">
        <f aca="false">Assumptions!D$94</f>
        <v>0</v>
      </c>
      <c r="AO50" s="37" t="n">
        <f aca="false">SUM(AH50:AN50)</f>
        <v>1.33666</v>
      </c>
      <c r="AP50" s="39" t="n">
        <f aca="false">AH50*Assumptions!$C$85*(1+Assumptions!$C$73)*(1+Assumptions!$C$74)^1/12</f>
        <v>244.689375</v>
      </c>
      <c r="AQ50" s="39" t="n">
        <f aca="false">AI50*Assumptions!$C$86*(1+Assumptions!$C$73)*(1+Assumptions!$C$74)^1/12</f>
        <v>227.2115625</v>
      </c>
      <c r="AR50" s="39" t="n">
        <f aca="false">AJ50*Assumptions!$C$87*(1+Assumptions!$C$73)*(1+Assumptions!$C$74)^1/12</f>
        <v>1602.1328125</v>
      </c>
      <c r="AS50" s="39" t="n">
        <f aca="false">AK50*Assumptions!$C$85*(1+Assumptions!$C$73)*(1+Assumptions!$C$74)^1/12</f>
        <v>0</v>
      </c>
      <c r="AT50" s="39" t="n">
        <f aca="false">AL50*Assumptions!$C$83*(1+Assumptions!$C$73)*(1+Assumptions!$C$74)^1/12</f>
        <v>0</v>
      </c>
      <c r="AU50" s="39" t="n">
        <f aca="false">AM50*Assumptions!$C$84*(1+Assumptions!$C$73)*(1+Assumptions!$C$74)^1/12</f>
        <v>18239.5833333333</v>
      </c>
      <c r="AV50" s="39" t="n">
        <f aca="false">AN50*Assumptions!$C$88*(1+Assumptions!$C$73)*(1+Assumptions!$C$74)^1/12</f>
        <v>0</v>
      </c>
      <c r="AW50" s="39" t="n">
        <f aca="false">SUM(AP50:AV50)</f>
        <v>20313.6170833333</v>
      </c>
      <c r="AX50" s="39" t="n">
        <f aca="false">MIN(Assumptions!$C$80*W49,MAX(0,BS49+BC49))</f>
        <v>3432.8571373232</v>
      </c>
      <c r="AY50" s="39" t="n">
        <f aca="false">IF(SUM(AH50:AK50)&lt;=0,0,MIN(AX50,SUM(AP50:AS50)*MAX(0,1-Assumptions!$C$79/SUM(AH50:AK50))))</f>
        <v>0</v>
      </c>
      <c r="AZ50" s="36" t="n">
        <f aca="false">IF(SUM(AP50:AS50)=0,0,AY50/SUM(AP50:AS50))</f>
        <v>0</v>
      </c>
      <c r="BA50" s="39" t="n">
        <f aca="false">MIN(AX50-AY50,SUM(AT50:AV50))</f>
        <v>3432.8571373232</v>
      </c>
      <c r="BB50" s="36" t="n">
        <f aca="false">IF(SUM(AT50:AV50)=0,0,BA50/SUM(AT50:AV50))</f>
        <v>0.188209186283853</v>
      </c>
      <c r="BC50" s="39" t="n">
        <f aca="false">AY50+BA50</f>
        <v>3432.8571373232</v>
      </c>
      <c r="BD50" s="37" t="n">
        <f aca="false">SUM(AH50:AK50)*AZ50+SUM(AL50:AN50)*BB50</f>
        <v>0.188209186283853</v>
      </c>
      <c r="BE50" s="37" t="n">
        <f aca="false">MAX(0,SUM(AH50:AK50)*(1-AZ50)-Assumptions!$C$79)</f>
        <v>0</v>
      </c>
      <c r="BF50" s="39" t="n">
        <f aca="false">AP50*AZ50</f>
        <v>0</v>
      </c>
      <c r="BG50" s="39" t="n">
        <f aca="false">AQ50*AZ50</f>
        <v>0</v>
      </c>
      <c r="BH50" s="39" t="n">
        <f aca="false">AR50*AZ50</f>
        <v>0</v>
      </c>
      <c r="BI50" s="39" t="n">
        <f aca="false">AS50*AZ50</f>
        <v>0</v>
      </c>
      <c r="BJ50" s="39" t="n">
        <f aca="false">AT50*BB50</f>
        <v>0</v>
      </c>
      <c r="BK50" s="39" t="n">
        <f aca="false">AU50*BB50</f>
        <v>3432.8571373232</v>
      </c>
      <c r="BL50" s="39" t="n">
        <f aca="false">AV50*BB50</f>
        <v>0</v>
      </c>
      <c r="BM50" s="39" t="n">
        <f aca="false">H50*(Assumptions!$C$68+Assumptions!$C$66)*Assumptions!$F$10</f>
        <v>0</v>
      </c>
      <c r="BN50" s="39" t="n">
        <f aca="false">K50*$C$19+L50*$D$19+M50*$E$19+N50*$F$19+O50*$G$19</f>
        <v>0</v>
      </c>
      <c r="BO50" s="39" t="n">
        <f aca="false">Assumptions!$C$99*W50</f>
        <v>178.92896616272</v>
      </c>
      <c r="BP50" s="39" t="n">
        <f aca="false">Assumptions!D$98/12+P50*Assumptions!$C$101/12</f>
        <v>521.5</v>
      </c>
      <c r="BQ50" s="39" t="n">
        <f aca="false">BD50*Assumptions!$C$102/12+Assumptions!$C$100</f>
        <v>147.052296570963</v>
      </c>
      <c r="BR50" s="39" t="n">
        <f aca="false">SUM(BF50:BQ50)</f>
        <v>4280.33840005688</v>
      </c>
      <c r="BS50" s="39" t="n">
        <f aca="false">W50-AD50-BR50</f>
        <v>2510.12130250044</v>
      </c>
      <c r="BT50" s="39" t="n">
        <f aca="false">MAX(0,BD50-BD49)*Assumptions!$C$103</f>
        <v>19.9727654219076</v>
      </c>
      <c r="BU50" s="39" t="n">
        <f aca="false">0</f>
        <v>0</v>
      </c>
      <c r="BV50" s="39" t="n">
        <f aca="false">-(W50-W49)*12*Assumptions!$C$108</f>
        <v>-131.14996733808</v>
      </c>
      <c r="BW50" s="39" t="n">
        <f aca="false">0</f>
        <v>0</v>
      </c>
      <c r="BX50" s="39" t="n">
        <f aca="false">BS50-BT50+BU50+BV50+BW50</f>
        <v>2358.99856974045</v>
      </c>
      <c r="BY50" s="29" t="n">
        <f aca="false">BY49+BX50</f>
        <v>17967.763936479</v>
      </c>
    </row>
    <row r="51" customFormat="false" ht="15" hidden="false" customHeight="false" outlineLevel="0" collapsed="false">
      <c r="A51" s="45" t="n">
        <v>21</v>
      </c>
      <c r="B51" s="45" t="n">
        <v>2028</v>
      </c>
      <c r="C51" s="45" t="n">
        <v>1</v>
      </c>
      <c r="D51" s="35" t="n">
        <f aca="false">ROUND(Assumptions!D$18*Assumptions!$F$7/12,0)</f>
        <v>250</v>
      </c>
      <c r="E51" s="35" t="n">
        <f aca="false">Rollout!$C$10-I50</f>
        <v>8400</v>
      </c>
      <c r="F51" s="39" t="n">
        <f aca="false">H51*$C$26+H50*$D$26+H49*$E$26+H48*$F$26+H47*$G$26+H46*$H$26+H45*$I$26+H44*$J$26+H43*$K$26+H42*$L$26+H41*$M$26+H40*$N$26</f>
        <v>843.413874699584</v>
      </c>
      <c r="G51" s="39" t="n">
        <f aca="false">BY50-Assumptions!$C$110-F50-Assumptions!$C$111*(Assumptions!$C$100+Assumptions!D$98/12+BC50)</f>
        <v>1836.33538718616</v>
      </c>
      <c r="H51" s="35" t="n">
        <f aca="false">IF(BE50&gt;0,0,MAX(0,MIN(D51,E51,INT(G51/$C$27))))</f>
        <v>8</v>
      </c>
      <c r="I51" s="35" t="n">
        <f aca="false">I50+H51</f>
        <v>41</v>
      </c>
      <c r="J51" s="35" t="n">
        <f aca="false">SUM(H40:H51)</f>
        <v>27</v>
      </c>
      <c r="K51" s="35" t="n">
        <f aca="false">H51*$C$23+H50*$D$23+H49*$E$23+H48*$F$23+H47*$G$23+H46*$H$23+H45*$I$23+H44*$J$23+H43*$K$23+H42*$L$23+H41*$M$23+H40*$N$23</f>
        <v>32.0001</v>
      </c>
      <c r="L51" s="35" t="n">
        <f aca="false">SUM(H31:H39)</f>
        <v>14</v>
      </c>
      <c r="M51" s="35" t="n">
        <f aca="false">0</f>
        <v>0</v>
      </c>
      <c r="N51" s="35" t="n">
        <f aca="false">0</f>
        <v>0</v>
      </c>
      <c r="O51" s="35" t="n">
        <f aca="false">0</f>
        <v>0</v>
      </c>
      <c r="P51" s="35" t="n">
        <f aca="false">J51*$C$6+L51*$D$6+M51*$E$6+N51*$F$6+O51*$G$6</f>
        <v>40.58</v>
      </c>
      <c r="Q51" s="39" t="n">
        <f aca="false">K51*$C$7+L51*$D$7+M51*$E$7+N51*$F$7+O51*$G$7</f>
        <v>3560.1914544</v>
      </c>
      <c r="R51" s="39" t="n">
        <f aca="false">K51*$C$8+L51*$D$8+M51*$E$8+N51*$F$8+O51*$G$8</f>
        <v>2189.859504768</v>
      </c>
      <c r="S51" s="39" t="n">
        <f aca="false">K51*$C$9+L51*$D$9+M51*$E$9+N51*$F$9+O51*$G$9</f>
        <v>752.8752</v>
      </c>
      <c r="T51" s="39" t="n">
        <f aca="false">K51*$C$10+L51*$D$10+M51*$E$10+N51*$F$10+O51*$G$10</f>
        <v>1280.31715035</v>
      </c>
      <c r="U51" s="39" t="n">
        <f aca="false">K51*$C$11+L51*$D$11+M51*$E$11+N51*$F$11+O51*$G$11</f>
        <v>1527.5421</v>
      </c>
      <c r="V51" s="39" t="n">
        <f aca="false">K51*$C$12+L51*$D$12+M51*$E$12+N51*$F$12+O51*$G$12</f>
        <v>0</v>
      </c>
      <c r="W51" s="39" t="n">
        <f aca="false">SUM(Q51:V51)</f>
        <v>9310.785409518</v>
      </c>
      <c r="X51" s="39" t="n">
        <f aca="false">J51*$C$14+L51*$D$14+M51*$E$14+N51*$F$14+O51*$G$14</f>
        <v>1291.08651666667</v>
      </c>
      <c r="Y51" s="39" t="n">
        <f aca="false">J51*$C$15+L51*$D$15+M51*$E$15+N51*$F$15+O51*$G$15</f>
        <v>1014.5</v>
      </c>
      <c r="Z51" s="39" t="n">
        <f aca="false">K51*$C$16+L51*$D$16+M51*$E$16+N51*$F$16+O51*$G$16</f>
        <v>20.699366345</v>
      </c>
      <c r="AA51" s="39" t="n">
        <f aca="false">K51*$C$17+L51*$D$17+M51*$E$17+N51*$F$17+O51*$G$17</f>
        <v>275.249076929472</v>
      </c>
      <c r="AB51" s="39" t="n">
        <f aca="false">J51*$C$18+L51*$D$18+M51*$E$18+N51*$F$18+O51*$G$18</f>
        <v>22.6333333333333</v>
      </c>
      <c r="AC51" s="39" t="n">
        <f aca="false">H51*Assumptions!$C$67*Assumptions!$F$10</f>
        <v>120</v>
      </c>
      <c r="AD51" s="39" t="n">
        <f aca="false">SUM(X51:AC51)</f>
        <v>2744.16829327447</v>
      </c>
      <c r="AE51" s="35" t="n">
        <f aca="false">K51*$C$20+L51*$D$20+M51*$E$20+N51*$F$20+O51*$G$20</f>
        <v>8279.746538</v>
      </c>
      <c r="AF51" s="35" t="n">
        <f aca="false">K51*$C$21+L51*$D$21+M51*$E$21+N51*$F$21+O51*$G$21</f>
        <v>478723.5292</v>
      </c>
      <c r="AG51" s="35" t="n">
        <f aca="false">K51*$C$22+L51*$D$22+M51*$E$22+N51*$F$22+O51*$G$22</f>
        <v>369.263463712</v>
      </c>
      <c r="AH51" s="37" t="n">
        <f aca="false">P51/Assumptions!$C$76</f>
        <v>0.04058</v>
      </c>
      <c r="AI51" s="37" t="n">
        <f aca="false">P51/Assumptions!$C$77</f>
        <v>0.04058</v>
      </c>
      <c r="AJ51" s="37" t="n">
        <f aca="false">P51/Assumptions!$C$78</f>
        <v>0.338166666666667</v>
      </c>
      <c r="AK51" s="37" t="n">
        <f aca="false">H51/(Assumptions!$C$19/12)</f>
        <v>0.24</v>
      </c>
      <c r="AL51" s="37" t="n">
        <f aca="false">Assumptions!D$92</f>
        <v>0</v>
      </c>
      <c r="AM51" s="37" t="n">
        <f aca="false">Assumptions!D$93</f>
        <v>1</v>
      </c>
      <c r="AN51" s="37" t="n">
        <f aca="false">Assumptions!D$94</f>
        <v>0</v>
      </c>
      <c r="AO51" s="37" t="n">
        <f aca="false">SUM(AH51:AN51)</f>
        <v>1.65932666666667</v>
      </c>
      <c r="AP51" s="39" t="n">
        <f aca="false">AH51*Assumptions!$C$85*(1+Assumptions!$C$73)*(1+Assumptions!$C$74)^1/12</f>
        <v>304.772708333333</v>
      </c>
      <c r="AQ51" s="39" t="n">
        <f aca="false">AI51*Assumptions!$C$86*(1+Assumptions!$C$73)*(1+Assumptions!$C$74)^1/12</f>
        <v>283.003229166667</v>
      </c>
      <c r="AR51" s="39" t="n">
        <f aca="false">AJ51*Assumptions!$C$87*(1+Assumptions!$C$73)*(1+Assumptions!$C$74)^1/12</f>
        <v>1995.53559027778</v>
      </c>
      <c r="AS51" s="39" t="n">
        <f aca="false">AK51*Assumptions!$C$85*(1+Assumptions!$C$73)*(1+Assumptions!$C$74)^1/12</f>
        <v>1802.5</v>
      </c>
      <c r="AT51" s="39" t="n">
        <f aca="false">AL51*Assumptions!$C$83*(1+Assumptions!$C$73)*(1+Assumptions!$C$74)^1/12</f>
        <v>0</v>
      </c>
      <c r="AU51" s="39" t="n">
        <f aca="false">AM51*Assumptions!$C$84*(1+Assumptions!$C$73)*(1+Assumptions!$C$74)^1/12</f>
        <v>18239.5833333333</v>
      </c>
      <c r="AV51" s="39" t="n">
        <f aca="false">AN51*Assumptions!$C$88*(1+Assumptions!$C$73)*(1+Assumptions!$C$74)^1/12</f>
        <v>0</v>
      </c>
      <c r="AW51" s="39" t="n">
        <f aca="false">SUM(AP51:AV51)</f>
        <v>22625.3948611111</v>
      </c>
      <c r="AX51" s="39" t="n">
        <f aca="false">MIN(Assumptions!$C$80*W50,MAX(0,BS50+BC50))</f>
        <v>3578.5793232544</v>
      </c>
      <c r="AY51" s="39" t="n">
        <f aca="false">IF(SUM(AH51:AK51)&lt;=0,0,MIN(AX51,SUM(AP51:AS51)*MAX(0,1-Assumptions!$C$79/SUM(AH51:AK51))))</f>
        <v>0</v>
      </c>
      <c r="AZ51" s="36" t="n">
        <f aca="false">IF(SUM(AP51:AS51)=0,0,AY51/SUM(AP51:AS51))</f>
        <v>0</v>
      </c>
      <c r="BA51" s="39" t="n">
        <f aca="false">MIN(AX51-AY51,SUM(AT51:AV51))</f>
        <v>3578.5793232544</v>
      </c>
      <c r="BB51" s="36" t="n">
        <f aca="false">IF(SUM(AT51:AV51)=0,0,BA51/SUM(AT51:AV51))</f>
        <v>0.196198523719259</v>
      </c>
      <c r="BC51" s="39" t="n">
        <f aca="false">AY51+BA51</f>
        <v>3578.5793232544</v>
      </c>
      <c r="BD51" s="37" t="n">
        <f aca="false">SUM(AH51:AK51)*AZ51+SUM(AL51:AN51)*BB51</f>
        <v>0.196198523719259</v>
      </c>
      <c r="BE51" s="37" t="n">
        <f aca="false">MAX(0,SUM(AH51:AK51)*(1-AZ51)-Assumptions!$C$79)</f>
        <v>0</v>
      </c>
      <c r="BF51" s="39" t="n">
        <f aca="false">AP51*AZ51</f>
        <v>0</v>
      </c>
      <c r="BG51" s="39" t="n">
        <f aca="false">AQ51*AZ51</f>
        <v>0</v>
      </c>
      <c r="BH51" s="39" t="n">
        <f aca="false">AR51*AZ51</f>
        <v>0</v>
      </c>
      <c r="BI51" s="39" t="n">
        <f aca="false">AS51*AZ51</f>
        <v>0</v>
      </c>
      <c r="BJ51" s="39" t="n">
        <f aca="false">AT51*BB51</f>
        <v>0</v>
      </c>
      <c r="BK51" s="39" t="n">
        <f aca="false">AU51*BB51</f>
        <v>3578.5793232544</v>
      </c>
      <c r="BL51" s="39" t="n">
        <f aca="false">AV51*BB51</f>
        <v>0</v>
      </c>
      <c r="BM51" s="39" t="n">
        <f aca="false">H51*(Assumptions!$C$68+Assumptions!$C$66)*Assumptions!$F$10</f>
        <v>200</v>
      </c>
      <c r="BN51" s="39" t="n">
        <f aca="false">K51*$C$19+L51*$D$19+M51*$E$19+N51*$F$19+O51*$G$19</f>
        <v>0</v>
      </c>
      <c r="BO51" s="39" t="n">
        <f aca="false">Assumptions!$C$99*W51</f>
        <v>186.21570819036</v>
      </c>
      <c r="BP51" s="39" t="n">
        <f aca="false">Assumptions!D$98/12+P51*Assumptions!$C$101/12</f>
        <v>588.166666666667</v>
      </c>
      <c r="BQ51" s="39" t="n">
        <f aca="false">BD51*Assumptions!$C$102/12+Assumptions!$C$100</f>
        <v>149.049630929815</v>
      </c>
      <c r="BR51" s="39" t="n">
        <f aca="false">SUM(BF51:BQ51)</f>
        <v>4702.01132904124</v>
      </c>
      <c r="BS51" s="39" t="n">
        <f aca="false">W51-AD51-BR51</f>
        <v>1864.60578720229</v>
      </c>
      <c r="BT51" s="39" t="n">
        <f aca="false">MAX(0,BD51-BD50)*Assumptions!$C$103</f>
        <v>19.973343588514</v>
      </c>
      <c r="BU51" s="39" t="n">
        <f aca="false">0</f>
        <v>0</v>
      </c>
      <c r="BV51" s="39" t="n">
        <f aca="false">-(W51-W50)*12*Assumptions!$C$108</f>
        <v>-131.16135649752</v>
      </c>
      <c r="BW51" s="39" t="n">
        <f aca="false">0</f>
        <v>0</v>
      </c>
      <c r="BX51" s="39" t="n">
        <f aca="false">BS51-BT51+BU51+BV51+BW51</f>
        <v>1713.47108711625</v>
      </c>
      <c r="BY51" s="29" t="n">
        <f aca="false">BY50+BX51</f>
        <v>19681.2350235952</v>
      </c>
    </row>
    <row r="52" customFormat="false" ht="15" hidden="false" customHeight="false" outlineLevel="0" collapsed="false">
      <c r="A52" s="45" t="n">
        <v>22</v>
      </c>
      <c r="B52" s="45" t="n">
        <v>2028</v>
      </c>
      <c r="C52" s="45" t="n">
        <v>1</v>
      </c>
      <c r="D52" s="35" t="n">
        <f aca="false">ROUND(Assumptions!D$18*Assumptions!$F$7/12,0)</f>
        <v>250</v>
      </c>
      <c r="E52" s="35" t="n">
        <f aca="false">Rollout!$C$10-I51</f>
        <v>8392</v>
      </c>
      <c r="F52" s="39" t="n">
        <f aca="false">H52*$C$26+H51*$D$26+H50*$E$26+H49*$F$26+H48*$G$26+H47*$H$26+H46*$I$26+H45*$J$26+H44*$K$26+H43*$L$26+H42*$M$26+H41*$N$26</f>
        <v>1468.89977787084</v>
      </c>
      <c r="G52" s="39" t="n">
        <f aca="false">BY51-Assumptions!$C$110-F51-Assumptions!$C$111*(Assumptions!$C$100+Assumptions!D$98/12+BC51)</f>
        <v>2123.50385587803</v>
      </c>
      <c r="H52" s="35" t="n">
        <f aca="false">IF(BE51&gt;0,0,MAX(0,MIN(D52,E52,INT(G52/$C$27))))</f>
        <v>10</v>
      </c>
      <c r="I52" s="35" t="n">
        <f aca="false">I51+H52</f>
        <v>51</v>
      </c>
      <c r="J52" s="35" t="n">
        <f aca="false">SUM(H41:H52)</f>
        <v>34</v>
      </c>
      <c r="K52" s="35" t="n">
        <f aca="false">H52*$C$23+H51*$D$23+H50*$E$23+H49*$F$23+H48*$G$23+H47*$H$23+H46*$I$23+H45*$J$23+H44*$K$23+H43*$L$23+H42*$M$23+H41*$N$23</f>
        <v>30.3638</v>
      </c>
      <c r="L52" s="35" t="n">
        <f aca="false">SUM(H31:H40)</f>
        <v>17</v>
      </c>
      <c r="M52" s="35" t="n">
        <f aca="false">0</f>
        <v>0</v>
      </c>
      <c r="N52" s="35" t="n">
        <f aca="false">0</f>
        <v>0</v>
      </c>
      <c r="O52" s="35" t="n">
        <f aca="false">0</f>
        <v>0</v>
      </c>
      <c r="P52" s="35" t="n">
        <f aca="false">J52*$C$6+L52*$D$6+M52*$E$6+N52*$F$6+O52*$G$6</f>
        <v>50.49</v>
      </c>
      <c r="Q52" s="39" t="n">
        <f aca="false">K52*$C$7+L52*$D$7+M52*$E$7+N52*$F$7+O52*$G$7</f>
        <v>3907.3855072</v>
      </c>
      <c r="R52" s="39" t="n">
        <f aca="false">K52*$C$8+L52*$D$8+M52*$E$8+N52*$F$8+O52*$G$8</f>
        <v>2434.822425984</v>
      </c>
      <c r="S52" s="39" t="n">
        <f aca="false">K52*$C$9+L52*$D$9+M52*$E$9+N52*$F$9+O52*$G$9</f>
        <v>914.2056</v>
      </c>
      <c r="T52" s="39" t="n">
        <f aca="false">K52*$C$10+L52*$D$10+M52*$E$10+N52*$F$10+O52*$G$10</f>
        <v>1477.3505733</v>
      </c>
      <c r="U52" s="39" t="n">
        <f aca="false">K52*$C$11+L52*$D$11+M52*$E$11+N52*$F$11+O52*$G$11</f>
        <v>1676.5098</v>
      </c>
      <c r="V52" s="39" t="n">
        <f aca="false">K52*$C$12+L52*$D$12+M52*$E$12+N52*$F$12+O52*$G$12</f>
        <v>0</v>
      </c>
      <c r="W52" s="39" t="n">
        <f aca="false">SUM(Q52:V52)</f>
        <v>10410.273906484</v>
      </c>
      <c r="X52" s="39" t="n">
        <f aca="false">J52*$C$14+L52*$D$14+M52*$E$14+N52*$F$14+O52*$G$14</f>
        <v>1606.381425</v>
      </c>
      <c r="Y52" s="39" t="n">
        <f aca="false">J52*$C$15+L52*$D$15+M52*$E$15+N52*$F$15+O52*$G$15</f>
        <v>1262.25</v>
      </c>
      <c r="Z52" s="39" t="n">
        <f aca="false">K52*$C$16+L52*$D$16+M52*$E$16+N52*$F$16+O52*$G$16</f>
        <v>22.55760311</v>
      </c>
      <c r="AA52" s="39" t="n">
        <f aca="false">K52*$C$17+L52*$D$17+M52*$E$17+N52*$F$17+O52*$G$17</f>
        <v>303.244021339136</v>
      </c>
      <c r="AB52" s="39" t="n">
        <f aca="false">J52*$C$18+L52*$D$18+M52*$E$18+N52*$F$18+O52*$G$18</f>
        <v>27.4833333333333</v>
      </c>
      <c r="AC52" s="39" t="n">
        <f aca="false">H52*Assumptions!$C$67*Assumptions!$F$10</f>
        <v>150</v>
      </c>
      <c r="AD52" s="39" t="n">
        <f aca="false">SUM(X52:AC52)</f>
        <v>3371.91638278247</v>
      </c>
      <c r="AE52" s="35" t="n">
        <f aca="false">K52*$C$20+L52*$D$20+M52*$E$20+N52*$F$20+O52*$G$20</f>
        <v>9023.041244</v>
      </c>
      <c r="AF52" s="35" t="n">
        <f aca="false">K52*$C$21+L52*$D$21+M52*$E$21+N52*$F$21+O52*$G$21</f>
        <v>512578.0296</v>
      </c>
      <c r="AG52" s="35" t="n">
        <f aca="false">K52*$C$22+L52*$D$22+M52*$E$22+N52*$F$22+O52*$G$22</f>
        <v>406.967704256</v>
      </c>
      <c r="AH52" s="37" t="n">
        <f aca="false">P52/Assumptions!$C$76</f>
        <v>0.05049</v>
      </c>
      <c r="AI52" s="37" t="n">
        <f aca="false">P52/Assumptions!$C$77</f>
        <v>0.05049</v>
      </c>
      <c r="AJ52" s="37" t="n">
        <f aca="false">P52/Assumptions!$C$78</f>
        <v>0.42075</v>
      </c>
      <c r="AK52" s="37" t="n">
        <f aca="false">H52/(Assumptions!$C$19/12)</f>
        <v>0.3</v>
      </c>
      <c r="AL52" s="37" t="n">
        <f aca="false">Assumptions!D$92</f>
        <v>0</v>
      </c>
      <c r="AM52" s="37" t="n">
        <f aca="false">Assumptions!D$93</f>
        <v>1</v>
      </c>
      <c r="AN52" s="37" t="n">
        <f aca="false">Assumptions!D$94</f>
        <v>0</v>
      </c>
      <c r="AO52" s="37" t="n">
        <f aca="false">SUM(AH52:AN52)</f>
        <v>1.82173</v>
      </c>
      <c r="AP52" s="39" t="n">
        <f aca="false">AH52*Assumptions!$C$85*(1+Assumptions!$C$73)*(1+Assumptions!$C$74)^1/12</f>
        <v>379.2009375</v>
      </c>
      <c r="AQ52" s="39" t="n">
        <f aca="false">AI52*Assumptions!$C$86*(1+Assumptions!$C$73)*(1+Assumptions!$C$74)^1/12</f>
        <v>352.11515625</v>
      </c>
      <c r="AR52" s="39" t="n">
        <f aca="false">AJ52*Assumptions!$C$87*(1+Assumptions!$C$73)*(1+Assumptions!$C$74)^1/12</f>
        <v>2482.86328125</v>
      </c>
      <c r="AS52" s="39" t="n">
        <f aca="false">AK52*Assumptions!$C$85*(1+Assumptions!$C$73)*(1+Assumptions!$C$74)^1/12</f>
        <v>2253.125</v>
      </c>
      <c r="AT52" s="39" t="n">
        <f aca="false">AL52*Assumptions!$C$83*(1+Assumptions!$C$73)*(1+Assumptions!$C$74)^1/12</f>
        <v>0</v>
      </c>
      <c r="AU52" s="39" t="n">
        <f aca="false">AM52*Assumptions!$C$84*(1+Assumptions!$C$73)*(1+Assumptions!$C$74)^1/12</f>
        <v>18239.5833333333</v>
      </c>
      <c r="AV52" s="39" t="n">
        <f aca="false">AN52*Assumptions!$C$88*(1+Assumptions!$C$73)*(1+Assumptions!$C$74)^1/12</f>
        <v>0</v>
      </c>
      <c r="AW52" s="39" t="n">
        <f aca="false">SUM(AP52:AV52)</f>
        <v>23706.8877083333</v>
      </c>
      <c r="AX52" s="39" t="n">
        <f aca="false">MIN(Assumptions!$C$80*W51,MAX(0,BS51+BC51))</f>
        <v>3724.3141638072</v>
      </c>
      <c r="AY52" s="39" t="n">
        <f aca="false">IF(SUM(AH52:AK52)&lt;=0,0,MIN(AX52,SUM(AP52:AS52)*MAX(0,1-Assumptions!$C$79/SUM(AH52:AK52))))</f>
        <v>0</v>
      </c>
      <c r="AZ52" s="36" t="n">
        <f aca="false">IF(SUM(AP52:AS52)=0,0,AY52/SUM(AP52:AS52))</f>
        <v>0</v>
      </c>
      <c r="BA52" s="39" t="n">
        <f aca="false">MIN(AX52-AY52,SUM(AT52:AV52))</f>
        <v>3724.3141638072</v>
      </c>
      <c r="BB52" s="36" t="n">
        <f aca="false">IF(SUM(AT52:AV52)=0,0,BA52/SUM(AT52:AV52))</f>
        <v>0.204188554954592</v>
      </c>
      <c r="BC52" s="39" t="n">
        <f aca="false">AY52+BA52</f>
        <v>3724.3141638072</v>
      </c>
      <c r="BD52" s="37" t="n">
        <f aca="false">SUM(AH52:AK52)*AZ52+SUM(AL52:AN52)*BB52</f>
        <v>0.204188554954592</v>
      </c>
      <c r="BE52" s="37" t="n">
        <f aca="false">MAX(0,SUM(AH52:AK52)*(1-AZ52)-Assumptions!$C$79)</f>
        <v>0</v>
      </c>
      <c r="BF52" s="39" t="n">
        <f aca="false">AP52*AZ52</f>
        <v>0</v>
      </c>
      <c r="BG52" s="39" t="n">
        <f aca="false">AQ52*AZ52</f>
        <v>0</v>
      </c>
      <c r="BH52" s="39" t="n">
        <f aca="false">AR52*AZ52</f>
        <v>0</v>
      </c>
      <c r="BI52" s="39" t="n">
        <f aca="false">AS52*AZ52</f>
        <v>0</v>
      </c>
      <c r="BJ52" s="39" t="n">
        <f aca="false">AT52*BB52</f>
        <v>0</v>
      </c>
      <c r="BK52" s="39" t="n">
        <f aca="false">AU52*BB52</f>
        <v>3724.3141638072</v>
      </c>
      <c r="BL52" s="39" t="n">
        <f aca="false">AV52*BB52</f>
        <v>0</v>
      </c>
      <c r="BM52" s="39" t="n">
        <f aca="false">H52*(Assumptions!$C$68+Assumptions!$C$66)*Assumptions!$F$10</f>
        <v>250</v>
      </c>
      <c r="BN52" s="39" t="n">
        <f aca="false">K52*$C$19+L52*$D$19+M52*$E$19+N52*$F$19+O52*$G$19</f>
        <v>0</v>
      </c>
      <c r="BO52" s="39" t="n">
        <f aca="false">Assumptions!$C$99*W52</f>
        <v>208.20547812968</v>
      </c>
      <c r="BP52" s="39" t="n">
        <f aca="false">Assumptions!D$98/12+P52*Assumptions!$C$101/12</f>
        <v>670.75</v>
      </c>
      <c r="BQ52" s="39" t="n">
        <f aca="false">BD52*Assumptions!$C$102/12+Assumptions!$C$100</f>
        <v>151.047138738648</v>
      </c>
      <c r="BR52" s="39" t="n">
        <f aca="false">SUM(BF52:BQ52)</f>
        <v>5004.31678067553</v>
      </c>
      <c r="BS52" s="39" t="n">
        <f aca="false">W52-AD52-BR52</f>
        <v>2034.040743026</v>
      </c>
      <c r="BT52" s="39" t="n">
        <f aca="false">MAX(0,BD52-BD51)*Assumptions!$C$103</f>
        <v>19.9750780883336</v>
      </c>
      <c r="BU52" s="39" t="n">
        <f aca="false">0</f>
        <v>0</v>
      </c>
      <c r="BV52" s="39" t="n">
        <f aca="false">-(W52-W51)*12*Assumptions!$C$108</f>
        <v>-395.815858907759</v>
      </c>
      <c r="BW52" s="39" t="n">
        <f aca="false">0</f>
        <v>0</v>
      </c>
      <c r="BX52" s="39" t="n">
        <f aca="false">BS52-BT52+BU52+BV52+BW52</f>
        <v>1618.24980602991</v>
      </c>
      <c r="BY52" s="29" t="n">
        <f aca="false">BY51+BX52</f>
        <v>21299.4848296251</v>
      </c>
    </row>
    <row r="53" customFormat="false" ht="15" hidden="false" customHeight="false" outlineLevel="0" collapsed="false">
      <c r="A53" s="45" t="n">
        <v>23</v>
      </c>
      <c r="B53" s="45" t="n">
        <v>2028</v>
      </c>
      <c r="C53" s="45" t="n">
        <v>1</v>
      </c>
      <c r="D53" s="35" t="n">
        <f aca="false">ROUND(Assumptions!D$18*Assumptions!$F$7/12,0)</f>
        <v>250</v>
      </c>
      <c r="E53" s="35" t="n">
        <f aca="false">Rollout!$C$10-I52</f>
        <v>8382</v>
      </c>
      <c r="F53" s="39" t="n">
        <f aca="false">H53*$C$26+H52*$D$26+H51*$E$26+H50*$F$26+H49*$G$26+H48*$H$26+H47*$I$26+H46*$J$26+H45*$K$26+H44*$L$26+H43*$M$26+H42*$N$26</f>
        <v>1916.8888875582</v>
      </c>
      <c r="G53" s="39" t="n">
        <f aca="false">BY52-Assumptions!$C$110-F52-Assumptions!$C$111*(Assumptions!$C$100+Assumptions!D$98/12+BC52)</f>
        <v>2533.32839652548</v>
      </c>
      <c r="H53" s="35" t="n">
        <f aca="false">IF(BE52&gt;0,0,MAX(0,MIN(D53,E53,INT(G53/$C$27))))</f>
        <v>12</v>
      </c>
      <c r="I53" s="35" t="n">
        <f aca="false">I52+H53</f>
        <v>63</v>
      </c>
      <c r="J53" s="35" t="n">
        <f aca="false">SUM(H42:H53)</f>
        <v>42</v>
      </c>
      <c r="K53" s="35" t="n">
        <f aca="false">H53*$C$23+H52*$D$23+H51*$E$23+H50*$F$23+H49*$G$23+H48*$H$23+H47*$I$23+H46*$J$23+H45*$K$23+H44*$L$23+H43*$M$23+H42*$N$23</f>
        <v>27.8178</v>
      </c>
      <c r="L53" s="35" t="n">
        <f aca="false">SUM(H31:H41)</f>
        <v>21</v>
      </c>
      <c r="M53" s="35" t="n">
        <f aca="false">0</f>
        <v>0</v>
      </c>
      <c r="N53" s="35" t="n">
        <f aca="false">0</f>
        <v>0</v>
      </c>
      <c r="O53" s="35" t="n">
        <f aca="false">0</f>
        <v>0</v>
      </c>
      <c r="P53" s="35" t="n">
        <f aca="false">J53*$C$6+L53*$D$6+M53*$E$6+N53*$F$6+O53*$G$6</f>
        <v>62.37</v>
      </c>
      <c r="Q53" s="39" t="n">
        <f aca="false">K53*$C$7+L53*$D$7+M53*$E$7+N53*$F$7+O53*$G$7</f>
        <v>4352.4822432</v>
      </c>
      <c r="R53" s="39" t="n">
        <f aca="false">K53*$C$8+L53*$D$8+M53*$E$8+N53*$F$8+O53*$G$8</f>
        <v>2751.820216704</v>
      </c>
      <c r="S53" s="39" t="n">
        <f aca="false">K53*$C$9+L53*$D$9+M53*$E$9+N53*$F$9+O53*$G$9</f>
        <v>1129.3128</v>
      </c>
      <c r="T53" s="39" t="n">
        <f aca="false">K53*$C$10+L53*$D$10+M53*$E$10+N53*$F$10+O53*$G$10</f>
        <v>1736.7457023</v>
      </c>
      <c r="U53" s="39" t="n">
        <f aca="false">K53*$C$11+L53*$D$11+M53*$E$11+N53*$F$11+O53*$G$11</f>
        <v>1867.4838</v>
      </c>
      <c r="V53" s="39" t="n">
        <f aca="false">K53*$C$12+L53*$D$12+M53*$E$12+N53*$F$12+O53*$G$12</f>
        <v>0</v>
      </c>
      <c r="W53" s="39" t="n">
        <f aca="false">SUM(Q53:V53)</f>
        <v>11837.844762204</v>
      </c>
      <c r="X53" s="39" t="n">
        <f aca="false">J53*$C$14+L53*$D$14+M53*$E$14+N53*$F$14+O53*$G$14</f>
        <v>1984.353525</v>
      </c>
      <c r="Y53" s="39" t="n">
        <f aca="false">J53*$C$15+L53*$D$15+M53*$E$15+N53*$F$15+O53*$G$15</f>
        <v>1559.25</v>
      </c>
      <c r="Z53" s="39" t="n">
        <f aca="false">K53*$C$16+L53*$D$16+M53*$E$16+N53*$F$16+O53*$G$16</f>
        <v>24.92471541</v>
      </c>
      <c r="AA53" s="39" t="n">
        <f aca="false">K53*$C$17+L53*$D$17+M53*$E$17+N53*$F$17+O53*$G$17</f>
        <v>339.241647158016</v>
      </c>
      <c r="AB53" s="39" t="n">
        <f aca="false">J53*$C$18+L53*$D$18+M53*$E$18+N53*$F$18+O53*$G$18</f>
        <v>33.95</v>
      </c>
      <c r="AC53" s="39" t="n">
        <f aca="false">H53*Assumptions!$C$67*Assumptions!$F$10</f>
        <v>180</v>
      </c>
      <c r="AD53" s="39" t="n">
        <f aca="false">SUM(X53:AC53)</f>
        <v>4121.71988756802</v>
      </c>
      <c r="AE53" s="35" t="n">
        <f aca="false">K53*$C$20+L53*$D$20+M53*$E$20+N53*$F$20+O53*$G$20</f>
        <v>9969.886164</v>
      </c>
      <c r="AF53" s="35" t="n">
        <f aca="false">K53*$C$21+L53*$D$21+M53*$E$21+N53*$F$21+O53*$G$21</f>
        <v>554769.7176</v>
      </c>
      <c r="AG53" s="35" t="n">
        <f aca="false">K53*$C$22+L53*$D$22+M53*$E$22+N53*$F$22+O53*$G$22</f>
        <v>455.463452736</v>
      </c>
      <c r="AH53" s="37" t="n">
        <f aca="false">P53/Assumptions!$C$76</f>
        <v>0.06237</v>
      </c>
      <c r="AI53" s="37" t="n">
        <f aca="false">P53/Assumptions!$C$77</f>
        <v>0.06237</v>
      </c>
      <c r="AJ53" s="37" t="n">
        <f aca="false">P53/Assumptions!$C$78</f>
        <v>0.51975</v>
      </c>
      <c r="AK53" s="37" t="n">
        <f aca="false">H53/(Assumptions!$C$19/12)</f>
        <v>0.36</v>
      </c>
      <c r="AL53" s="37" t="n">
        <f aca="false">Assumptions!D$92</f>
        <v>0</v>
      </c>
      <c r="AM53" s="37" t="n">
        <f aca="false">Assumptions!D$93</f>
        <v>1</v>
      </c>
      <c r="AN53" s="37" t="n">
        <f aca="false">Assumptions!D$94</f>
        <v>0</v>
      </c>
      <c r="AO53" s="37" t="n">
        <f aca="false">SUM(AH53:AN53)</f>
        <v>2.00449</v>
      </c>
      <c r="AP53" s="39" t="n">
        <f aca="false">AH53*Assumptions!$C$85*(1+Assumptions!$C$73)*(1+Assumptions!$C$74)^1/12</f>
        <v>468.4246875</v>
      </c>
      <c r="AQ53" s="39" t="n">
        <f aca="false">AI53*Assumptions!$C$86*(1+Assumptions!$C$73)*(1+Assumptions!$C$74)^1/12</f>
        <v>434.96578125</v>
      </c>
      <c r="AR53" s="39" t="n">
        <f aca="false">AJ53*Assumptions!$C$87*(1+Assumptions!$C$73)*(1+Assumptions!$C$74)^1/12</f>
        <v>3067.06640625</v>
      </c>
      <c r="AS53" s="39" t="n">
        <f aca="false">AK53*Assumptions!$C$85*(1+Assumptions!$C$73)*(1+Assumptions!$C$74)^1/12</f>
        <v>2703.75</v>
      </c>
      <c r="AT53" s="39" t="n">
        <f aca="false">AL53*Assumptions!$C$83*(1+Assumptions!$C$73)*(1+Assumptions!$C$74)^1/12</f>
        <v>0</v>
      </c>
      <c r="AU53" s="39" t="n">
        <f aca="false">AM53*Assumptions!$C$84*(1+Assumptions!$C$73)*(1+Assumptions!$C$74)^1/12</f>
        <v>18239.5833333333</v>
      </c>
      <c r="AV53" s="39" t="n">
        <f aca="false">AN53*Assumptions!$C$88*(1+Assumptions!$C$73)*(1+Assumptions!$C$74)^1/12</f>
        <v>0</v>
      </c>
      <c r="AW53" s="39" t="n">
        <f aca="false">SUM(AP53:AV53)</f>
        <v>24913.7902083333</v>
      </c>
      <c r="AX53" s="39" t="n">
        <f aca="false">MIN(Assumptions!$C$80*W52,MAX(0,BS52+BC52))</f>
        <v>4164.1095625936</v>
      </c>
      <c r="AY53" s="39" t="n">
        <f aca="false">IF(SUM(AH53:AK53)&lt;=0,0,MIN(AX53,SUM(AP53:AS53)*MAX(0,1-Assumptions!$C$79/SUM(AH53:AK53))))</f>
        <v>0</v>
      </c>
      <c r="AZ53" s="36" t="n">
        <f aca="false">IF(SUM(AP53:AS53)=0,0,AY53/SUM(AP53:AS53))</f>
        <v>0</v>
      </c>
      <c r="BA53" s="39" t="n">
        <f aca="false">MIN(AX53-AY53,SUM(AT53:AV53))</f>
        <v>4164.1095625936</v>
      </c>
      <c r="BB53" s="36" t="n">
        <f aca="false">IF(SUM(AT53:AV53)=0,0,BA53/SUM(AT53:AV53))</f>
        <v>0.228300695607645</v>
      </c>
      <c r="BC53" s="39" t="n">
        <f aca="false">AY53+BA53</f>
        <v>4164.1095625936</v>
      </c>
      <c r="BD53" s="37" t="n">
        <f aca="false">SUM(AH53:AK53)*AZ53+SUM(AL53:AN53)*BB53</f>
        <v>0.228300695607645</v>
      </c>
      <c r="BE53" s="37" t="n">
        <f aca="false">MAX(0,SUM(AH53:AK53)*(1-AZ53)-Assumptions!$C$79)</f>
        <v>0</v>
      </c>
      <c r="BF53" s="39" t="n">
        <f aca="false">AP53*AZ53</f>
        <v>0</v>
      </c>
      <c r="BG53" s="39" t="n">
        <f aca="false">AQ53*AZ53</f>
        <v>0</v>
      </c>
      <c r="BH53" s="39" t="n">
        <f aca="false">AR53*AZ53</f>
        <v>0</v>
      </c>
      <c r="BI53" s="39" t="n">
        <f aca="false">AS53*AZ53</f>
        <v>0</v>
      </c>
      <c r="BJ53" s="39" t="n">
        <f aca="false">AT53*BB53</f>
        <v>0</v>
      </c>
      <c r="BK53" s="39" t="n">
        <f aca="false">AU53*BB53</f>
        <v>4164.1095625936</v>
      </c>
      <c r="BL53" s="39" t="n">
        <f aca="false">AV53*BB53</f>
        <v>0</v>
      </c>
      <c r="BM53" s="39" t="n">
        <f aca="false">H53*(Assumptions!$C$68+Assumptions!$C$66)*Assumptions!$F$10</f>
        <v>300</v>
      </c>
      <c r="BN53" s="39" t="n">
        <f aca="false">K53*$C$19+L53*$D$19+M53*$E$19+N53*$F$19+O53*$G$19</f>
        <v>0</v>
      </c>
      <c r="BO53" s="39" t="n">
        <f aca="false">Assumptions!$C$99*W53</f>
        <v>236.75689524408</v>
      </c>
      <c r="BP53" s="39" t="n">
        <f aca="false">Assumptions!D$98/12+P53*Assumptions!$C$101/12</f>
        <v>769.75</v>
      </c>
      <c r="BQ53" s="39" t="n">
        <f aca="false">BD53*Assumptions!$C$102/12+Assumptions!$C$100</f>
        <v>157.075173901911</v>
      </c>
      <c r="BR53" s="39" t="n">
        <f aca="false">SUM(BF53:BQ53)</f>
        <v>5627.69163173959</v>
      </c>
      <c r="BS53" s="39" t="n">
        <f aca="false">W53-AD53-BR53</f>
        <v>2088.43324289639</v>
      </c>
      <c r="BT53" s="39" t="n">
        <f aca="false">MAX(0,BD53-BD52)*Assumptions!$C$103</f>
        <v>60.2803516326304</v>
      </c>
      <c r="BU53" s="39" t="n">
        <f aca="false">0</f>
        <v>0</v>
      </c>
      <c r="BV53" s="39" t="n">
        <f aca="false">-(W53-W52)*12*Assumptions!$C$108</f>
        <v>-513.925508059201</v>
      </c>
      <c r="BW53" s="39" t="n">
        <f aca="false">0</f>
        <v>0</v>
      </c>
      <c r="BX53" s="39" t="n">
        <f aca="false">BS53-BT53+BU53+BV53+BW53</f>
        <v>1514.22738320456</v>
      </c>
      <c r="BY53" s="29" t="n">
        <f aca="false">BY52+BX53</f>
        <v>22813.7122128297</v>
      </c>
    </row>
    <row r="54" customFormat="false" ht="15" hidden="false" customHeight="false" outlineLevel="0" collapsed="false">
      <c r="A54" s="45" t="n">
        <v>24</v>
      </c>
      <c r="B54" s="45" t="n">
        <v>2028</v>
      </c>
      <c r="C54" s="45" t="n">
        <v>1</v>
      </c>
      <c r="D54" s="35" t="n">
        <f aca="false">ROUND(Assumptions!D$18*Assumptions!$F$7/12,0)</f>
        <v>250</v>
      </c>
      <c r="E54" s="35" t="n">
        <f aca="false">Rollout!$C$10-I53</f>
        <v>8370</v>
      </c>
      <c r="F54" s="39" t="n">
        <f aca="false">H54*$C$26+H53*$D$26+H52*$E$26+H51*$F$26+H50*$G$26+H49*$H$26+H48*$I$26+H47*$J$26+H46*$K$26+H45*$L$26+H44*$M$26+H43*$N$26</f>
        <v>1632.20944192959</v>
      </c>
      <c r="G54" s="39" t="n">
        <f aca="false">BY53-Assumptions!$C$110-F53-Assumptions!$C$111*(Assumptions!$C$100+Assumptions!D$98/12+BC53)</f>
        <v>1840.38507489708</v>
      </c>
      <c r="H54" s="35" t="n">
        <f aca="false">IF(BE53&gt;0,0,MAX(0,MIN(D54,E54,INT(G54/$C$27))))</f>
        <v>8</v>
      </c>
      <c r="I54" s="35" t="n">
        <f aca="false">I53+H54</f>
        <v>71</v>
      </c>
      <c r="J54" s="35" t="n">
        <f aca="false">SUM(H43:H54)</f>
        <v>43</v>
      </c>
      <c r="K54" s="35" t="n">
        <f aca="false">H54*$C$23+H53*$D$23+H52*$E$23+H51*$F$23+H50*$G$23+H49*$H$23+H48*$I$23+H47*$J$23+H46*$K$23+H45*$L$23+H44*$M$23+H43*$N$23</f>
        <v>20.1816</v>
      </c>
      <c r="L54" s="35" t="n">
        <f aca="false">SUM(H31:H42)</f>
        <v>28</v>
      </c>
      <c r="M54" s="35" t="n">
        <f aca="false">0</f>
        <v>0</v>
      </c>
      <c r="N54" s="35" t="n">
        <f aca="false">0</f>
        <v>0</v>
      </c>
      <c r="O54" s="35" t="n">
        <f aca="false">0</f>
        <v>0</v>
      </c>
      <c r="P54" s="35" t="n">
        <f aca="false">J54*$C$6+L54*$D$6+M54*$E$6+N54*$F$6+O54*$G$6</f>
        <v>70.16</v>
      </c>
      <c r="Q54" s="39" t="n">
        <f aca="false">K54*$C$7+L54*$D$7+M54*$E$7+N54*$F$7+O54*$G$7</f>
        <v>4975.7253504</v>
      </c>
      <c r="R54" s="39" t="n">
        <f aca="false">K54*$C$8+L54*$D$8+M54*$E$8+N54*$F$8+O54*$G$8</f>
        <v>3222.571442688</v>
      </c>
      <c r="S54" s="39" t="n">
        <f aca="false">K54*$C$9+L54*$D$9+M54*$E$9+N54*$F$9+O54*$G$9</f>
        <v>1505.7504</v>
      </c>
      <c r="T54" s="39" t="n">
        <f aca="false">K54*$C$10+L54*$D$10+M54*$E$10+N54*$F$10+O54*$G$10</f>
        <v>2161.7316756</v>
      </c>
      <c r="U54" s="39" t="n">
        <f aca="false">K54*$C$11+L54*$D$11+M54*$E$11+N54*$F$11+O54*$G$11</f>
        <v>2134.8936</v>
      </c>
      <c r="V54" s="39" t="n">
        <f aca="false">K54*$C$12+L54*$D$12+M54*$E$12+N54*$F$12+O54*$G$12</f>
        <v>0</v>
      </c>
      <c r="W54" s="39" t="n">
        <f aca="false">SUM(Q54:V54)</f>
        <v>14000.672468688</v>
      </c>
      <c r="X54" s="39" t="n">
        <f aca="false">J54*$C$14+L54*$D$14+M54*$E$14+N54*$F$14+O54*$G$14</f>
        <v>2232.19886666667</v>
      </c>
      <c r="Y54" s="39" t="n">
        <f aca="false">J54*$C$15+L54*$D$15+M54*$E$15+N54*$F$15+O54*$G$15</f>
        <v>1754</v>
      </c>
      <c r="Z54" s="39" t="n">
        <f aca="false">K54*$C$16+L54*$D$16+M54*$E$16+N54*$F$16+O54*$G$16</f>
        <v>28.10197852</v>
      </c>
      <c r="AA54" s="39" t="n">
        <f aca="false">K54*$C$17+L54*$D$17+M54*$E$17+N54*$F$17+O54*$G$17</f>
        <v>390.633234097152</v>
      </c>
      <c r="AB54" s="39" t="n">
        <f aca="false">J54*$C$18+L54*$D$18+M54*$E$18+N54*$F$18+O54*$G$18</f>
        <v>45.2666666666667</v>
      </c>
      <c r="AC54" s="39" t="n">
        <f aca="false">H54*Assumptions!$C$67*Assumptions!$F$10</f>
        <v>120</v>
      </c>
      <c r="AD54" s="39" t="n">
        <f aca="false">SUM(X54:AC54)</f>
        <v>4570.20074595049</v>
      </c>
      <c r="AE54" s="35" t="n">
        <f aca="false">K54*$C$20+L54*$D$20+M54*$E$20+N54*$F$20+O54*$G$20</f>
        <v>11240.791408</v>
      </c>
      <c r="AF54" s="35" t="n">
        <f aca="false">K54*$C$21+L54*$D$21+M54*$E$21+N54*$F$21+O54*$G$21</f>
        <v>602866.9472</v>
      </c>
      <c r="AG54" s="35" t="n">
        <f aca="false">K54*$C$22+L54*$D$22+M54*$E$22+N54*$F$22+O54*$G$22</f>
        <v>524.818356992</v>
      </c>
      <c r="AH54" s="37" t="n">
        <f aca="false">P54/Assumptions!$C$76</f>
        <v>0.07016</v>
      </c>
      <c r="AI54" s="37" t="n">
        <f aca="false">P54/Assumptions!$C$77</f>
        <v>0.07016</v>
      </c>
      <c r="AJ54" s="37" t="n">
        <f aca="false">P54/Assumptions!$C$78</f>
        <v>0.584666666666667</v>
      </c>
      <c r="AK54" s="37" t="n">
        <f aca="false">H54/(Assumptions!$C$19/12)</f>
        <v>0.24</v>
      </c>
      <c r="AL54" s="37" t="n">
        <f aca="false">Assumptions!D$92</f>
        <v>0</v>
      </c>
      <c r="AM54" s="37" t="n">
        <f aca="false">Assumptions!D$93</f>
        <v>1</v>
      </c>
      <c r="AN54" s="37" t="n">
        <f aca="false">Assumptions!D$94</f>
        <v>0</v>
      </c>
      <c r="AO54" s="37" t="n">
        <f aca="false">SUM(AH54:AN54)</f>
        <v>1.96498666666667</v>
      </c>
      <c r="AP54" s="39" t="n">
        <f aca="false">AH54*Assumptions!$C$85*(1+Assumptions!$C$73)*(1+Assumptions!$C$74)^1/12</f>
        <v>526.930833333333</v>
      </c>
      <c r="AQ54" s="39" t="n">
        <f aca="false">AI54*Assumptions!$C$86*(1+Assumptions!$C$73)*(1+Assumptions!$C$74)^1/12</f>
        <v>489.292916666667</v>
      </c>
      <c r="AR54" s="39" t="n">
        <f aca="false">AJ54*Assumptions!$C$87*(1+Assumptions!$C$73)*(1+Assumptions!$C$74)^1/12</f>
        <v>3450.14236111111</v>
      </c>
      <c r="AS54" s="39" t="n">
        <f aca="false">AK54*Assumptions!$C$85*(1+Assumptions!$C$73)*(1+Assumptions!$C$74)^1/12</f>
        <v>1802.5</v>
      </c>
      <c r="AT54" s="39" t="n">
        <f aca="false">AL54*Assumptions!$C$83*(1+Assumptions!$C$73)*(1+Assumptions!$C$74)^1/12</f>
        <v>0</v>
      </c>
      <c r="AU54" s="39" t="n">
        <f aca="false">AM54*Assumptions!$C$84*(1+Assumptions!$C$73)*(1+Assumptions!$C$74)^1/12</f>
        <v>18239.5833333333</v>
      </c>
      <c r="AV54" s="39" t="n">
        <f aca="false">AN54*Assumptions!$C$88*(1+Assumptions!$C$73)*(1+Assumptions!$C$74)^1/12</f>
        <v>0</v>
      </c>
      <c r="AW54" s="39" t="n">
        <f aca="false">SUM(AP54:AV54)</f>
        <v>24508.4494444444</v>
      </c>
      <c r="AX54" s="39" t="n">
        <f aca="false">MIN(Assumptions!$C$80*W53,MAX(0,BS53+BC53))</f>
        <v>4735.1379048816</v>
      </c>
      <c r="AY54" s="39" t="n">
        <f aca="false">IF(SUM(AH54:AK54)&lt;=0,0,MIN(AX54,SUM(AP54:AS54)*MAX(0,1-Assumptions!$C$79/SUM(AH54:AK54))))</f>
        <v>0</v>
      </c>
      <c r="AZ54" s="36" t="n">
        <f aca="false">IF(SUM(AP54:AS54)=0,0,AY54/SUM(AP54:AS54))</f>
        <v>0</v>
      </c>
      <c r="BA54" s="39" t="n">
        <f aca="false">MIN(AX54-AY54,SUM(AT54:AV54))</f>
        <v>4735.1379048816</v>
      </c>
      <c r="BB54" s="36" t="n">
        <f aca="false">IF(SUM(AT54:AV54)=0,0,BA54/SUM(AT54:AV54))</f>
        <v>0.259607789188255</v>
      </c>
      <c r="BC54" s="39" t="n">
        <f aca="false">AY54+BA54</f>
        <v>4735.1379048816</v>
      </c>
      <c r="BD54" s="37" t="n">
        <f aca="false">SUM(AH54:AK54)*AZ54+SUM(AL54:AN54)*BB54</f>
        <v>0.259607789188255</v>
      </c>
      <c r="BE54" s="37" t="n">
        <f aca="false">MAX(0,SUM(AH54:AK54)*(1-AZ54)-Assumptions!$C$79)</f>
        <v>0</v>
      </c>
      <c r="BF54" s="39" t="n">
        <f aca="false">AP54*AZ54</f>
        <v>0</v>
      </c>
      <c r="BG54" s="39" t="n">
        <f aca="false">AQ54*AZ54</f>
        <v>0</v>
      </c>
      <c r="BH54" s="39" t="n">
        <f aca="false">AR54*AZ54</f>
        <v>0</v>
      </c>
      <c r="BI54" s="39" t="n">
        <f aca="false">AS54*AZ54</f>
        <v>0</v>
      </c>
      <c r="BJ54" s="39" t="n">
        <f aca="false">AT54*BB54</f>
        <v>0</v>
      </c>
      <c r="BK54" s="39" t="n">
        <f aca="false">AU54*BB54</f>
        <v>4735.1379048816</v>
      </c>
      <c r="BL54" s="39" t="n">
        <f aca="false">AV54*BB54</f>
        <v>0</v>
      </c>
      <c r="BM54" s="39" t="n">
        <f aca="false">H54*(Assumptions!$C$68+Assumptions!$C$66)*Assumptions!$F$10</f>
        <v>200</v>
      </c>
      <c r="BN54" s="39" t="n">
        <f aca="false">K54*$C$19+L54*$D$19+M54*$E$19+N54*$F$19+O54*$G$19</f>
        <v>0</v>
      </c>
      <c r="BO54" s="39" t="n">
        <f aca="false">Assumptions!$C$99*W54</f>
        <v>280.01344937376</v>
      </c>
      <c r="BP54" s="39" t="n">
        <f aca="false">Assumptions!D$98/12+P54*Assumptions!$C$101/12</f>
        <v>834.666666666667</v>
      </c>
      <c r="BQ54" s="39" t="n">
        <f aca="false">BD54*Assumptions!$C$102/12+Assumptions!$C$100</f>
        <v>164.901947297064</v>
      </c>
      <c r="BR54" s="39" t="n">
        <f aca="false">SUM(BF54:BQ54)</f>
        <v>6214.71996821909</v>
      </c>
      <c r="BS54" s="39" t="n">
        <f aca="false">W54-AD54-BR54</f>
        <v>3215.75175451842</v>
      </c>
      <c r="BT54" s="39" t="n">
        <f aca="false">MAX(0,BD54-BD53)*Assumptions!$C$103</f>
        <v>78.267733951525</v>
      </c>
      <c r="BU54" s="39" t="n">
        <f aca="false">0</f>
        <v>0</v>
      </c>
      <c r="BV54" s="39" t="n">
        <f aca="false">-(W54-W53)*12*Assumptions!$C$108</f>
        <v>-778.617974334239</v>
      </c>
      <c r="BW54" s="39" t="n">
        <f aca="false">0</f>
        <v>0</v>
      </c>
      <c r="BX54" s="39" t="n">
        <f aca="false">BS54-BT54+BU54+BV54+BW54</f>
        <v>2358.86604623266</v>
      </c>
      <c r="BY54" s="29" t="n">
        <f aca="false">BY53+BX54</f>
        <v>25172.5782590623</v>
      </c>
    </row>
    <row r="55" customFormat="false" ht="15" hidden="false" customHeight="false" outlineLevel="0" collapsed="false">
      <c r="A55" s="45" t="n">
        <v>25</v>
      </c>
      <c r="B55" s="45" t="n">
        <v>2029</v>
      </c>
      <c r="C55" s="45" t="n">
        <v>2</v>
      </c>
      <c r="D55" s="35" t="n">
        <f aca="false">ROUND(Assumptions!E$18*Assumptions!$F$7/12,0)</f>
        <v>250</v>
      </c>
      <c r="E55" s="35" t="n">
        <f aca="false">Rollout!$C$10-I54</f>
        <v>8362</v>
      </c>
      <c r="F55" s="39" t="n">
        <f aca="false">H55*$C$26+H54*$D$26+H53*$E$26+H52*$F$26+H51*$G$26+H50*$H$26+H49*$I$26+H48*$J$26+H47*$K$26+H46*$L$26+H45*$M$26+H44*$N$26</f>
        <v>1141.98240476616</v>
      </c>
      <c r="G55" s="39" t="n">
        <f aca="false">BY54-Assumptions!$C$110-F54-Assumptions!$C$111*(Assumptions!$C$100+Assumptions!E$98/12+BC54)</f>
        <v>1199.81719760635</v>
      </c>
      <c r="H55" s="35" t="n">
        <f aca="false">IF(BE54&gt;0,0,MAX(0,MIN(D55,E55,INT(G55/$C$27))))</f>
        <v>5</v>
      </c>
      <c r="I55" s="35" t="n">
        <f aca="false">I54+H55</f>
        <v>76</v>
      </c>
      <c r="J55" s="35" t="n">
        <f aca="false">SUM(H44:H55)</f>
        <v>43</v>
      </c>
      <c r="K55" s="35" t="n">
        <f aca="false">H55*$C$23+H54*$D$23+H53*$E$23+H52*$F$23+H51*$G$23+H50*$H$23+H49*$I$23+H48*$J$23+H47*$K$23+H46*$L$23+H45*$M$23+H44*$N$23</f>
        <v>17.091</v>
      </c>
      <c r="L55" s="35" t="n">
        <f aca="false">SUM(H32:H43)</f>
        <v>19</v>
      </c>
      <c r="M55" s="35" t="n">
        <f aca="false">SUM(H31:H31)</f>
        <v>14</v>
      </c>
      <c r="N55" s="35" t="n">
        <f aca="false">0</f>
        <v>0</v>
      </c>
      <c r="O55" s="35" t="n">
        <f aca="false">0</f>
        <v>0</v>
      </c>
      <c r="P55" s="35" t="n">
        <f aca="false">J55*$C$6+L55*$D$6+M55*$E$6+N55*$F$6+O55*$G$6</f>
        <v>74.73</v>
      </c>
      <c r="Q55" s="39" t="n">
        <f aca="false">K55*$C$7+L55*$D$7+M55*$E$7+N55*$F$7+O55*$G$7</f>
        <v>6797.391664</v>
      </c>
      <c r="R55" s="39" t="n">
        <f aca="false">K55*$C$8+L55*$D$8+M55*$E$8+N55*$F$8+O55*$G$8</f>
        <v>4910.60052288</v>
      </c>
      <c r="S55" s="39" t="n">
        <f aca="false">K55*$C$9+L55*$D$9+M55*$E$9+N55*$F$9+O55*$G$9</f>
        <v>2865.1392</v>
      </c>
      <c r="T55" s="39" t="n">
        <f aca="false">K55*$C$10+L55*$D$10+M55*$E$10+N55*$F$10+O55*$G$10</f>
        <v>3677.1858585</v>
      </c>
      <c r="U55" s="39" t="n">
        <f aca="false">K55*$C$11+L55*$D$11+M55*$E$11+N55*$F$11+O55*$G$11</f>
        <v>2916.501</v>
      </c>
      <c r="V55" s="39" t="n">
        <f aca="false">K55*$C$12+L55*$D$12+M55*$E$12+N55*$F$12+O55*$G$12</f>
        <v>1549.77984</v>
      </c>
      <c r="W55" s="39" t="n">
        <f aca="false">SUM(Q55:V55)</f>
        <v>22716.59808538</v>
      </c>
      <c r="X55" s="39" t="n">
        <f aca="false">J55*$C$14+L55*$D$14+M55*$E$14+N55*$F$14+O55*$G$14</f>
        <v>2377.597225</v>
      </c>
      <c r="Y55" s="39" t="n">
        <f aca="false">J55*$C$15+L55*$D$15+M55*$E$15+N55*$F$15+O55*$G$15</f>
        <v>1868.25</v>
      </c>
      <c r="Z55" s="39" t="n">
        <f aca="false">K55*$C$16+L55*$D$16+M55*$E$16+N55*$F$16+O55*$G$16</f>
        <v>36.24335995</v>
      </c>
      <c r="AA55" s="39" t="n">
        <f aca="false">K55*$C$17+L55*$D$17+M55*$E$17+N55*$F$17+O55*$G$17</f>
        <v>552.29568359552</v>
      </c>
      <c r="AB55" s="39" t="n">
        <f aca="false">J55*$C$18+L55*$D$18+M55*$E$18+N55*$F$18+O55*$G$18</f>
        <v>52.8833333333333</v>
      </c>
      <c r="AC55" s="39" t="n">
        <f aca="false">H55*Assumptions!$C$67*Assumptions!$F$10</f>
        <v>75</v>
      </c>
      <c r="AD55" s="39" t="n">
        <f aca="false">SUM(X55:AC55)</f>
        <v>4962.26960187885</v>
      </c>
      <c r="AE55" s="35" t="n">
        <f aca="false">K55*$C$20+L55*$D$20+M55*$E$20+N55*$F$20+O55*$G$20</f>
        <v>14497.34398</v>
      </c>
      <c r="AF55" s="35" t="n">
        <f aca="false">K55*$C$21+L55*$D$21+M55*$E$21+N55*$F$21+O55*$G$21</f>
        <v>759442.292</v>
      </c>
      <c r="AG55" s="35" t="n">
        <f aca="false">K55*$C$22+L55*$D$22+M55*$E$22+N55*$F$22+O55*$G$22</f>
        <v>738.15383392</v>
      </c>
      <c r="AH55" s="37" t="n">
        <f aca="false">P55/Assumptions!$C$76</f>
        <v>0.07473</v>
      </c>
      <c r="AI55" s="37" t="n">
        <f aca="false">P55/Assumptions!$C$77</f>
        <v>0.07473</v>
      </c>
      <c r="AJ55" s="37" t="n">
        <f aca="false">P55/Assumptions!$C$78</f>
        <v>0.62275</v>
      </c>
      <c r="AK55" s="37" t="n">
        <f aca="false">H55/(Assumptions!$C$19/12)</f>
        <v>0.15</v>
      </c>
      <c r="AL55" s="37" t="n">
        <f aca="false">Assumptions!E$92</f>
        <v>0</v>
      </c>
      <c r="AM55" s="37" t="n">
        <f aca="false">Assumptions!E$93</f>
        <v>2</v>
      </c>
      <c r="AN55" s="37" t="n">
        <f aca="false">Assumptions!E$94</f>
        <v>1</v>
      </c>
      <c r="AO55" s="37" t="n">
        <f aca="false">SUM(AH55:AN55)</f>
        <v>3.92221</v>
      </c>
      <c r="AP55" s="39" t="n">
        <f aca="false">AH55*Assumptions!$C$85*(1+Assumptions!$C$73)*(1+Assumptions!$C$74)^2/12</f>
        <v>578.091040625</v>
      </c>
      <c r="AQ55" s="39" t="n">
        <f aca="false">AI55*Assumptions!$C$86*(1+Assumptions!$C$73)*(1+Assumptions!$C$74)^2/12</f>
        <v>536.7988234375</v>
      </c>
      <c r="AR55" s="39" t="n">
        <f aca="false">AJ55*Assumptions!$C$87*(1+Assumptions!$C$73)*(1+Assumptions!$C$74)^2/12</f>
        <v>3785.11990885417</v>
      </c>
      <c r="AS55" s="39" t="n">
        <f aca="false">AK55*Assumptions!$C$85*(1+Assumptions!$C$73)*(1+Assumptions!$C$74)^2/12</f>
        <v>1160.359375</v>
      </c>
      <c r="AT55" s="39" t="n">
        <f aca="false">AL55*Assumptions!$C$83*(1+Assumptions!$C$73)*(1+Assumptions!$C$74)^2/12</f>
        <v>0</v>
      </c>
      <c r="AU55" s="39" t="n">
        <f aca="false">AM55*Assumptions!$C$84*(1+Assumptions!$C$73)*(1+Assumptions!$C$74)^2/12</f>
        <v>37573.5416666667</v>
      </c>
      <c r="AV55" s="39" t="n">
        <f aca="false">AN55*Assumptions!$C$88*(1+Assumptions!$C$73)*(1+Assumptions!$C$74)^2/12</f>
        <v>12156.1458333333</v>
      </c>
      <c r="AW55" s="39" t="n">
        <f aca="false">SUM(AP55:AV55)</f>
        <v>55790.0566479167</v>
      </c>
      <c r="AX55" s="39" t="n">
        <f aca="false">MIN(Assumptions!$C$80*W54,MAX(0,BS54+BC54))</f>
        <v>5600.2689874752</v>
      </c>
      <c r="AY55" s="39" t="n">
        <f aca="false">IF(SUM(AH55:AK55)&lt;=0,0,MIN(AX55,SUM(AP55:AS55)*MAX(0,1-Assumptions!$C$79/SUM(AH55:AK55))))</f>
        <v>0</v>
      </c>
      <c r="AZ55" s="36" t="n">
        <f aca="false">IF(SUM(AP55:AS55)=0,0,AY55/SUM(AP55:AS55))</f>
        <v>0</v>
      </c>
      <c r="BA55" s="39" t="n">
        <f aca="false">MIN(AX55-AY55,SUM(AT55:AV55))</f>
        <v>5600.2689874752</v>
      </c>
      <c r="BB55" s="36" t="n">
        <f aca="false">IF(SUM(AT55:AV55)=0,0,BA55/SUM(AT55:AV55))</f>
        <v>0.112614200269712</v>
      </c>
      <c r="BC55" s="39" t="n">
        <f aca="false">AY55+BA55</f>
        <v>5600.2689874752</v>
      </c>
      <c r="BD55" s="37" t="n">
        <f aca="false">SUM(AH55:AK55)*AZ55+SUM(AL55:AN55)*BB55</f>
        <v>0.337842600809136</v>
      </c>
      <c r="BE55" s="37" t="n">
        <f aca="false">MAX(0,SUM(AH55:AK55)*(1-AZ55)-Assumptions!$C$79)</f>
        <v>0</v>
      </c>
      <c r="BF55" s="39" t="n">
        <f aca="false">AP55*AZ55</f>
        <v>0</v>
      </c>
      <c r="BG55" s="39" t="n">
        <f aca="false">AQ55*AZ55</f>
        <v>0</v>
      </c>
      <c r="BH55" s="39" t="n">
        <f aca="false">AR55*AZ55</f>
        <v>0</v>
      </c>
      <c r="BI55" s="39" t="n">
        <f aca="false">AS55*AZ55</f>
        <v>0</v>
      </c>
      <c r="BJ55" s="39" t="n">
        <f aca="false">AT55*BB55</f>
        <v>0</v>
      </c>
      <c r="BK55" s="39" t="n">
        <f aca="false">AU55*BB55</f>
        <v>4231.31434609237</v>
      </c>
      <c r="BL55" s="39" t="n">
        <f aca="false">AV55*BB55</f>
        <v>1368.95464138283</v>
      </c>
      <c r="BM55" s="39" t="n">
        <f aca="false">H55*(Assumptions!$C$68+Assumptions!$C$66)*Assumptions!$F$10</f>
        <v>125</v>
      </c>
      <c r="BN55" s="39" t="n">
        <f aca="false">K55*$C$19+L55*$D$19+M55*$E$19+N55*$F$19+O55*$G$19</f>
        <v>0</v>
      </c>
      <c r="BO55" s="39" t="n">
        <f aca="false">Assumptions!$C$99*W55</f>
        <v>454.3319617076</v>
      </c>
      <c r="BP55" s="39" t="n">
        <f aca="false">Assumptions!E$98/12+P55*Assumptions!$C$101/12</f>
        <v>1122.75</v>
      </c>
      <c r="BQ55" s="39" t="n">
        <f aca="false">BD55*Assumptions!$C$102/12+Assumptions!$C$100</f>
        <v>184.460650202284</v>
      </c>
      <c r="BR55" s="39" t="n">
        <f aca="false">SUM(BF55:BQ55)</f>
        <v>7486.81159938508</v>
      </c>
      <c r="BS55" s="39" t="n">
        <f aca="false">W55-AD55-BR55</f>
        <v>10267.5168841161</v>
      </c>
      <c r="BT55" s="39" t="n">
        <f aca="false">MAX(0,BD55-BD54)*Assumptions!$C$103</f>
        <v>195.587029052205</v>
      </c>
      <c r="BU55" s="39" t="n">
        <f aca="false">-'P&amp;L'!D24</f>
        <v>-6298.02947325994</v>
      </c>
      <c r="BV55" s="39" t="n">
        <f aca="false">-(W55-W54)*12*Assumptions!$C$108</f>
        <v>-3137.73322200912</v>
      </c>
      <c r="BW55" s="39" t="n">
        <f aca="false">Assumptions!E$114</f>
        <v>0</v>
      </c>
      <c r="BX55" s="39" t="n">
        <f aca="false">BS55-BT55+BU55+BV55+BW55</f>
        <v>636.167159794799</v>
      </c>
      <c r="BY55" s="29" t="n">
        <f aca="false">BY54+BX55</f>
        <v>25808.7454188571</v>
      </c>
    </row>
    <row r="56" customFormat="false" ht="15" hidden="false" customHeight="false" outlineLevel="0" collapsed="false">
      <c r="A56" s="45" t="n">
        <v>26</v>
      </c>
      <c r="B56" s="45" t="n">
        <v>2029</v>
      </c>
      <c r="C56" s="45" t="n">
        <v>2</v>
      </c>
      <c r="D56" s="35" t="n">
        <f aca="false">ROUND(Assumptions!E$18*Assumptions!$F$7/12,0)</f>
        <v>250</v>
      </c>
      <c r="E56" s="35" t="n">
        <f aca="false">Rollout!$C$10-I55</f>
        <v>8357</v>
      </c>
      <c r="F56" s="39" t="n">
        <f aca="false">H56*$C$26+H55*$D$26+H54*$E$26+H53*$F$26+H52*$G$26+H51*$H$26+H50*$I$26+H49*$J$26+H48*$K$26+H47*$L$26+H46*$M$26+H45*$N$26</f>
        <v>392.6228039486</v>
      </c>
      <c r="G56" s="39" t="n">
        <f aca="false">BY55-Assumptions!$C$110-F55-Assumptions!$C$111*(Assumptions!$C$100+Assumptions!E$98/12+BC55)</f>
        <v>-1134.31293580982</v>
      </c>
      <c r="H56" s="35" t="n">
        <f aca="false">IF(BE55&gt;0,0,MAX(0,MIN(D56,E56,INT(G56/$C$27))))</f>
        <v>0</v>
      </c>
      <c r="I56" s="35" t="n">
        <f aca="false">I55+H56</f>
        <v>76</v>
      </c>
      <c r="J56" s="35" t="n">
        <f aca="false">SUM(H45:H56)</f>
        <v>43</v>
      </c>
      <c r="K56" s="35" t="n">
        <f aca="false">H56*$C$23+H55*$D$23+H54*$E$23+H53*$F$23+H52*$G$23+H51*$H$23+H50*$I$23+H49*$J$23+H48*$K$23+H47*$L$23+H46*$M$23+H45*$N$23</f>
        <v>24.9096</v>
      </c>
      <c r="L56" s="35" t="n">
        <f aca="false">SUM(H33:H44)</f>
        <v>19</v>
      </c>
      <c r="M56" s="35" t="n">
        <f aca="false">SUM(H31:H32)</f>
        <v>14</v>
      </c>
      <c r="N56" s="35" t="n">
        <f aca="false">0</f>
        <v>0</v>
      </c>
      <c r="O56" s="35" t="n">
        <f aca="false">0</f>
        <v>0</v>
      </c>
      <c r="P56" s="35" t="n">
        <f aca="false">J56*$C$6+L56*$D$6+M56*$E$6+N56*$F$6+O56*$G$6</f>
        <v>74.73</v>
      </c>
      <c r="Q56" s="39" t="n">
        <f aca="false">K56*$C$7+L56*$D$7+M56*$E$7+N56*$F$7+O56*$G$7</f>
        <v>7180.0652224</v>
      </c>
      <c r="R56" s="39" t="n">
        <f aca="false">K56*$C$8+L56*$D$8+M56*$E$8+N56*$F$8+O56*$G$8</f>
        <v>5117.071609728</v>
      </c>
      <c r="S56" s="39" t="n">
        <f aca="false">K56*$C$9+L56*$D$9+M56*$E$9+N56*$F$9+O56*$G$9</f>
        <v>2865.1392</v>
      </c>
      <c r="T56" s="39" t="n">
        <f aca="false">K56*$C$10+L56*$D$10+M56*$E$10+N56*$F$10+O56*$G$10</f>
        <v>3748.3624836</v>
      </c>
      <c r="U56" s="39" t="n">
        <f aca="false">K56*$C$11+L56*$D$11+M56*$E$11+N56*$F$11+O56*$G$11</f>
        <v>3080.6916</v>
      </c>
      <c r="V56" s="39" t="n">
        <f aca="false">K56*$C$12+L56*$D$12+M56*$E$12+N56*$F$12+O56*$G$12</f>
        <v>1549.77984</v>
      </c>
      <c r="W56" s="39" t="n">
        <f aca="false">SUM(Q56:V56)</f>
        <v>23541.109955728</v>
      </c>
      <c r="X56" s="39" t="n">
        <f aca="false">J56*$C$14+L56*$D$14+M56*$E$14+N56*$F$14+O56*$G$14</f>
        <v>2377.597225</v>
      </c>
      <c r="Y56" s="39" t="n">
        <f aca="false">J56*$C$15+L56*$D$15+M56*$E$15+N56*$F$15+O56*$G$15</f>
        <v>1868.25</v>
      </c>
      <c r="Z56" s="39" t="n">
        <f aca="false">K56*$C$16+L56*$D$16+M56*$E$16+N56*$F$16+O56*$G$16</f>
        <v>38.61591412</v>
      </c>
      <c r="AA56" s="39" t="n">
        <f aca="false">K56*$C$17+L56*$D$17+M56*$E$17+N56*$F$17+O56*$G$17</f>
        <v>580.820553437312</v>
      </c>
      <c r="AB56" s="39" t="n">
        <f aca="false">J56*$C$18+L56*$D$18+M56*$E$18+N56*$F$18+O56*$G$18</f>
        <v>52.8833333333333</v>
      </c>
      <c r="AC56" s="39" t="n">
        <f aca="false">H56*Assumptions!$C$67*Assumptions!$F$10</f>
        <v>0</v>
      </c>
      <c r="AD56" s="39" t="n">
        <f aca="false">SUM(X56:AC56)</f>
        <v>4918.16702589065</v>
      </c>
      <c r="AE56" s="35" t="n">
        <f aca="false">K56*$C$20+L56*$D$20+M56*$E$20+N56*$F$20+O56*$G$20</f>
        <v>15446.365648</v>
      </c>
      <c r="AF56" s="35" t="n">
        <f aca="false">K56*$C$21+L56*$D$21+M56*$E$21+N56*$F$21+O56*$G$21</f>
        <v>822710.4032</v>
      </c>
      <c r="AG56" s="35" t="n">
        <f aca="false">K56*$C$22+L56*$D$22+M56*$E$22+N56*$F$22+O56*$G$22</f>
        <v>776.286084352</v>
      </c>
      <c r="AH56" s="37" t="n">
        <f aca="false">P56/Assumptions!$C$76</f>
        <v>0.07473</v>
      </c>
      <c r="AI56" s="37" t="n">
        <f aca="false">P56/Assumptions!$C$77</f>
        <v>0.07473</v>
      </c>
      <c r="AJ56" s="37" t="n">
        <f aca="false">P56/Assumptions!$C$78</f>
        <v>0.62275</v>
      </c>
      <c r="AK56" s="37" t="n">
        <f aca="false">H56/(Assumptions!$C$19/12)</f>
        <v>0</v>
      </c>
      <c r="AL56" s="37" t="n">
        <f aca="false">Assumptions!E$92</f>
        <v>0</v>
      </c>
      <c r="AM56" s="37" t="n">
        <f aca="false">Assumptions!E$93</f>
        <v>2</v>
      </c>
      <c r="AN56" s="37" t="n">
        <f aca="false">Assumptions!E$94</f>
        <v>1</v>
      </c>
      <c r="AO56" s="37" t="n">
        <f aca="false">SUM(AH56:AN56)</f>
        <v>3.77221</v>
      </c>
      <c r="AP56" s="39" t="n">
        <f aca="false">AH56*Assumptions!$C$85*(1+Assumptions!$C$73)*(1+Assumptions!$C$74)^2/12</f>
        <v>578.091040625</v>
      </c>
      <c r="AQ56" s="39" t="n">
        <f aca="false">AI56*Assumptions!$C$86*(1+Assumptions!$C$73)*(1+Assumptions!$C$74)^2/12</f>
        <v>536.7988234375</v>
      </c>
      <c r="AR56" s="39" t="n">
        <f aca="false">AJ56*Assumptions!$C$87*(1+Assumptions!$C$73)*(1+Assumptions!$C$74)^2/12</f>
        <v>3785.11990885417</v>
      </c>
      <c r="AS56" s="39" t="n">
        <f aca="false">AK56*Assumptions!$C$85*(1+Assumptions!$C$73)*(1+Assumptions!$C$74)^2/12</f>
        <v>0</v>
      </c>
      <c r="AT56" s="39" t="n">
        <f aca="false">AL56*Assumptions!$C$83*(1+Assumptions!$C$73)*(1+Assumptions!$C$74)^2/12</f>
        <v>0</v>
      </c>
      <c r="AU56" s="39" t="n">
        <f aca="false">AM56*Assumptions!$C$84*(1+Assumptions!$C$73)*(1+Assumptions!$C$74)^2/12</f>
        <v>37573.5416666667</v>
      </c>
      <c r="AV56" s="39" t="n">
        <f aca="false">AN56*Assumptions!$C$88*(1+Assumptions!$C$73)*(1+Assumptions!$C$74)^2/12</f>
        <v>12156.1458333333</v>
      </c>
      <c r="AW56" s="39" t="n">
        <f aca="false">SUM(AP56:AV56)</f>
        <v>54629.6972729167</v>
      </c>
      <c r="AX56" s="39" t="n">
        <f aca="false">MIN(Assumptions!$C$80*W55,MAX(0,BS55+BC55))</f>
        <v>9086.639234152</v>
      </c>
      <c r="AY56" s="39" t="n">
        <f aca="false">IF(SUM(AH56:AK56)&lt;=0,0,MIN(AX56,SUM(AP56:AS56)*MAX(0,1-Assumptions!$C$79/SUM(AH56:AK56))))</f>
        <v>0</v>
      </c>
      <c r="AZ56" s="36" t="n">
        <f aca="false">IF(SUM(AP56:AS56)=0,0,AY56/SUM(AP56:AS56))</f>
        <v>0</v>
      </c>
      <c r="BA56" s="39" t="n">
        <f aca="false">MIN(AX56-AY56,SUM(AT56:AV56))</f>
        <v>9086.639234152</v>
      </c>
      <c r="BB56" s="36" t="n">
        <f aca="false">IF(SUM(AT56:AV56)=0,0,BA56/SUM(AT56:AV56))</f>
        <v>0.182720618024234</v>
      </c>
      <c r="BC56" s="39" t="n">
        <f aca="false">AY56+BA56</f>
        <v>9086.639234152</v>
      </c>
      <c r="BD56" s="37" t="n">
        <f aca="false">SUM(AH56:AK56)*AZ56+SUM(AL56:AN56)*BB56</f>
        <v>0.548161854072701</v>
      </c>
      <c r="BE56" s="37" t="n">
        <f aca="false">MAX(0,SUM(AH56:AK56)*(1-AZ56)-Assumptions!$C$79)</f>
        <v>0</v>
      </c>
      <c r="BF56" s="39" t="n">
        <f aca="false">AP56*AZ56</f>
        <v>0</v>
      </c>
      <c r="BG56" s="39" t="n">
        <f aca="false">AQ56*AZ56</f>
        <v>0</v>
      </c>
      <c r="BH56" s="39" t="n">
        <f aca="false">AR56*AZ56</f>
        <v>0</v>
      </c>
      <c r="BI56" s="39" t="n">
        <f aca="false">AS56*AZ56</f>
        <v>0</v>
      </c>
      <c r="BJ56" s="39" t="n">
        <f aca="false">AT56*BB56</f>
        <v>0</v>
      </c>
      <c r="BK56" s="39" t="n">
        <f aca="false">AU56*BB56</f>
        <v>6865.46075469262</v>
      </c>
      <c r="BL56" s="39" t="n">
        <f aca="false">AV56*BB56</f>
        <v>2221.17847945938</v>
      </c>
      <c r="BM56" s="39" t="n">
        <f aca="false">H56*(Assumptions!$C$68+Assumptions!$C$66)*Assumptions!$F$10</f>
        <v>0</v>
      </c>
      <c r="BN56" s="39" t="n">
        <f aca="false">K56*$C$19+L56*$D$19+M56*$E$19+N56*$F$19+O56*$G$19</f>
        <v>0</v>
      </c>
      <c r="BO56" s="39" t="n">
        <f aca="false">Assumptions!$C$99*W56</f>
        <v>470.82219911456</v>
      </c>
      <c r="BP56" s="39" t="n">
        <f aca="false">Assumptions!E$98/12+P56*Assumptions!$C$101/12</f>
        <v>1122.75</v>
      </c>
      <c r="BQ56" s="39" t="n">
        <f aca="false">BD56*Assumptions!$C$102/12+Assumptions!$C$100</f>
        <v>237.040463518175</v>
      </c>
      <c r="BR56" s="39" t="n">
        <f aca="false">SUM(BF56:BQ56)</f>
        <v>10917.2518967847</v>
      </c>
      <c r="BS56" s="39" t="n">
        <f aca="false">W56-AD56-BR56</f>
        <v>7705.69103305262</v>
      </c>
      <c r="BT56" s="39" t="n">
        <f aca="false">MAX(0,BD56-BD55)*Assumptions!$C$103</f>
        <v>525.798133158911</v>
      </c>
      <c r="BU56" s="39" t="n">
        <f aca="false">0</f>
        <v>0</v>
      </c>
      <c r="BV56" s="39" t="n">
        <f aca="false">-(W56-W55)*12*Assumptions!$C$108</f>
        <v>-296.82427332528</v>
      </c>
      <c r="BW56" s="39" t="n">
        <f aca="false">0</f>
        <v>0</v>
      </c>
      <c r="BX56" s="39" t="n">
        <f aca="false">BS56-BT56+BU56+BV56+BW56</f>
        <v>6883.06862656843</v>
      </c>
      <c r="BY56" s="29" t="n">
        <f aca="false">BY55+BX56</f>
        <v>32691.8140454256</v>
      </c>
    </row>
    <row r="57" customFormat="false" ht="15" hidden="false" customHeight="false" outlineLevel="0" collapsed="false">
      <c r="A57" s="45" t="n">
        <v>27</v>
      </c>
      <c r="B57" s="45" t="n">
        <v>2029</v>
      </c>
      <c r="C57" s="45" t="n">
        <v>2</v>
      </c>
      <c r="D57" s="35" t="n">
        <f aca="false">ROUND(Assumptions!E$18*Assumptions!$F$7/12,0)</f>
        <v>250</v>
      </c>
      <c r="E57" s="35" t="n">
        <f aca="false">Rollout!$C$10-I56</f>
        <v>8357</v>
      </c>
      <c r="F57" s="39" t="n">
        <f aca="false">H57*$C$26+H56*$D$26+H55*$E$26+H54*$F$26+H53*$G$26+H52*$H$26+H51*$I$26+H50*$J$26+H49*$K$26+H48*$L$26+H47*$M$26+H46*$N$26</f>
        <v>83.4234577427333</v>
      </c>
      <c r="G57" s="39" t="n">
        <f aca="false">BY56-Assumptions!$C$110-F56-Assumptions!$C$111*(Assumptions!$C$100+Assumptions!E$98/12+BC56)</f>
        <v>-7447.36569513103</v>
      </c>
      <c r="H57" s="35" t="n">
        <f aca="false">IF(BE56&gt;0,0,MAX(0,MIN(D57,E57,INT(G57/$C$27))))</f>
        <v>0</v>
      </c>
      <c r="I57" s="35" t="n">
        <f aca="false">I56+H57</f>
        <v>76</v>
      </c>
      <c r="J57" s="35" t="n">
        <f aca="false">SUM(H46:H57)</f>
        <v>43</v>
      </c>
      <c r="K57" s="35" t="n">
        <f aca="false">H57*$C$23+H56*$D$23+H55*$E$23+H54*$F$23+H53*$G$23+H52*$H$23+H51*$I$23+H50*$J$23+H49*$K$23+H48*$L$23+H47*$M$23+H46*$N$23</f>
        <v>32.7278</v>
      </c>
      <c r="L57" s="35" t="n">
        <f aca="false">SUM(H34:H45)</f>
        <v>19</v>
      </c>
      <c r="M57" s="35" t="n">
        <f aca="false">SUM(H31:H33)</f>
        <v>14</v>
      </c>
      <c r="N57" s="35" t="n">
        <f aca="false">0</f>
        <v>0</v>
      </c>
      <c r="O57" s="35" t="n">
        <f aca="false">0</f>
        <v>0</v>
      </c>
      <c r="P57" s="35" t="n">
        <f aca="false">J57*$C$6+L57*$D$6+M57*$E$6+N57*$F$6+O57*$G$6</f>
        <v>74.73</v>
      </c>
      <c r="Q57" s="39" t="n">
        <f aca="false">K57*$C$7+L57*$D$7+M57*$E$7+N57*$F$7+O57*$G$7</f>
        <v>7562.7192032</v>
      </c>
      <c r="R57" s="39" t="n">
        <f aca="false">K57*$C$8+L57*$D$8+M57*$E$8+N57*$F$8+O57*$G$8</f>
        <v>5323.532133504</v>
      </c>
      <c r="S57" s="39" t="n">
        <f aca="false">K57*$C$9+L57*$D$9+M57*$E$9+N57*$F$9+O57*$G$9</f>
        <v>2865.1392</v>
      </c>
      <c r="T57" s="39" t="n">
        <f aca="false">K57*$C$10+L57*$D$10+M57*$E$10+N57*$F$10+O57*$G$10</f>
        <v>3819.5354673</v>
      </c>
      <c r="U57" s="39" t="n">
        <f aca="false">K57*$C$11+L57*$D$11+M57*$E$11+N57*$F$11+O57*$G$11</f>
        <v>3244.8738</v>
      </c>
      <c r="V57" s="39" t="n">
        <f aca="false">K57*$C$12+L57*$D$12+M57*$E$12+N57*$F$12+O57*$G$12</f>
        <v>1549.77984</v>
      </c>
      <c r="W57" s="39" t="n">
        <f aca="false">SUM(Q57:V57)</f>
        <v>24365.579644004</v>
      </c>
      <c r="X57" s="39" t="n">
        <f aca="false">J57*$C$14+L57*$D$14+M57*$E$14+N57*$F$14+O57*$G$14</f>
        <v>2377.597225</v>
      </c>
      <c r="Y57" s="39" t="n">
        <f aca="false">J57*$C$15+L57*$D$15+M57*$E$15+N57*$F$15+O57*$G$15</f>
        <v>1868.25</v>
      </c>
      <c r="Z57" s="39" t="n">
        <f aca="false">K57*$C$16+L57*$D$16+M57*$E$16+N57*$F$16+O57*$G$16</f>
        <v>40.98834691</v>
      </c>
      <c r="AA57" s="39" t="n">
        <f aca="false">K57*$C$17+L57*$D$17+M57*$E$17+N57*$F$17+O57*$G$17</f>
        <v>609.343963945216</v>
      </c>
      <c r="AB57" s="39" t="n">
        <f aca="false">J57*$C$18+L57*$D$18+M57*$E$18+N57*$F$18+O57*$G$18</f>
        <v>52.8833333333333</v>
      </c>
      <c r="AC57" s="39" t="n">
        <f aca="false">H57*Assumptions!$C$67*Assumptions!$F$10</f>
        <v>0</v>
      </c>
      <c r="AD57" s="39" t="n">
        <f aca="false">SUM(X57:AC57)</f>
        <v>4949.06286918855</v>
      </c>
      <c r="AE57" s="35" t="n">
        <f aca="false">K57*$C$20+L57*$D$20+M57*$E$20+N57*$F$20+O57*$G$20</f>
        <v>16395.338764</v>
      </c>
      <c r="AF57" s="35" t="n">
        <f aca="false">K57*$C$21+L57*$D$21+M57*$E$21+N57*$F$21+O57*$G$21</f>
        <v>885975.2776</v>
      </c>
      <c r="AG57" s="35" t="n">
        <f aca="false">K57*$C$22+L57*$D$22+M57*$E$22+N57*$F$22+O57*$G$22</f>
        <v>814.416383936</v>
      </c>
      <c r="AH57" s="37" t="n">
        <f aca="false">P57/Assumptions!$C$76</f>
        <v>0.07473</v>
      </c>
      <c r="AI57" s="37" t="n">
        <f aca="false">P57/Assumptions!$C$77</f>
        <v>0.07473</v>
      </c>
      <c r="AJ57" s="37" t="n">
        <f aca="false">P57/Assumptions!$C$78</f>
        <v>0.62275</v>
      </c>
      <c r="AK57" s="37" t="n">
        <f aca="false">H57/(Assumptions!$C$19/12)</f>
        <v>0</v>
      </c>
      <c r="AL57" s="37" t="n">
        <f aca="false">Assumptions!E$92</f>
        <v>0</v>
      </c>
      <c r="AM57" s="37" t="n">
        <f aca="false">Assumptions!E$93</f>
        <v>2</v>
      </c>
      <c r="AN57" s="37" t="n">
        <f aca="false">Assumptions!E$94</f>
        <v>1</v>
      </c>
      <c r="AO57" s="37" t="n">
        <f aca="false">SUM(AH57:AN57)</f>
        <v>3.77221</v>
      </c>
      <c r="AP57" s="39" t="n">
        <f aca="false">AH57*Assumptions!$C$85*(1+Assumptions!$C$73)*(1+Assumptions!$C$74)^2/12</f>
        <v>578.091040625</v>
      </c>
      <c r="AQ57" s="39" t="n">
        <f aca="false">AI57*Assumptions!$C$86*(1+Assumptions!$C$73)*(1+Assumptions!$C$74)^2/12</f>
        <v>536.7988234375</v>
      </c>
      <c r="AR57" s="39" t="n">
        <f aca="false">AJ57*Assumptions!$C$87*(1+Assumptions!$C$73)*(1+Assumptions!$C$74)^2/12</f>
        <v>3785.11990885417</v>
      </c>
      <c r="AS57" s="39" t="n">
        <f aca="false">AK57*Assumptions!$C$85*(1+Assumptions!$C$73)*(1+Assumptions!$C$74)^2/12</f>
        <v>0</v>
      </c>
      <c r="AT57" s="39" t="n">
        <f aca="false">AL57*Assumptions!$C$83*(1+Assumptions!$C$73)*(1+Assumptions!$C$74)^2/12</f>
        <v>0</v>
      </c>
      <c r="AU57" s="39" t="n">
        <f aca="false">AM57*Assumptions!$C$84*(1+Assumptions!$C$73)*(1+Assumptions!$C$74)^2/12</f>
        <v>37573.5416666667</v>
      </c>
      <c r="AV57" s="39" t="n">
        <f aca="false">AN57*Assumptions!$C$88*(1+Assumptions!$C$73)*(1+Assumptions!$C$74)^2/12</f>
        <v>12156.1458333333</v>
      </c>
      <c r="AW57" s="39" t="n">
        <f aca="false">SUM(AP57:AV57)</f>
        <v>54629.6972729167</v>
      </c>
      <c r="AX57" s="39" t="n">
        <f aca="false">MIN(Assumptions!$C$80*W56,MAX(0,BS56+BC56))</f>
        <v>9416.4439822912</v>
      </c>
      <c r="AY57" s="39" t="n">
        <f aca="false">IF(SUM(AH57:AK57)&lt;=0,0,MIN(AX57,SUM(AP57:AS57)*MAX(0,1-Assumptions!$C$79/SUM(AH57:AK57))))</f>
        <v>0</v>
      </c>
      <c r="AZ57" s="36" t="n">
        <f aca="false">IF(SUM(AP57:AS57)=0,0,AY57/SUM(AP57:AS57))</f>
        <v>0</v>
      </c>
      <c r="BA57" s="39" t="n">
        <f aca="false">MIN(AX57-AY57,SUM(AT57:AV57))</f>
        <v>9416.4439822912</v>
      </c>
      <c r="BB57" s="36" t="n">
        <f aca="false">IF(SUM(AT57:AV57)=0,0,BA57/SUM(AT57:AV57))</f>
        <v>0.189352566960957</v>
      </c>
      <c r="BC57" s="39" t="n">
        <f aca="false">AY57+BA57</f>
        <v>9416.4439822912</v>
      </c>
      <c r="BD57" s="37" t="n">
        <f aca="false">SUM(AH57:AK57)*AZ57+SUM(AL57:AN57)*BB57</f>
        <v>0.56805770088287</v>
      </c>
      <c r="BE57" s="37" t="n">
        <f aca="false">MAX(0,SUM(AH57:AK57)*(1-AZ57)-Assumptions!$C$79)</f>
        <v>0</v>
      </c>
      <c r="BF57" s="39" t="n">
        <f aca="false">AP57*AZ57</f>
        <v>0</v>
      </c>
      <c r="BG57" s="39" t="n">
        <f aca="false">AQ57*AZ57</f>
        <v>0</v>
      </c>
      <c r="BH57" s="39" t="n">
        <f aca="false">AR57*AZ57</f>
        <v>0</v>
      </c>
      <c r="BI57" s="39" t="n">
        <f aca="false">AS57*AZ57</f>
        <v>0</v>
      </c>
      <c r="BJ57" s="39" t="n">
        <f aca="false">AT57*BB57</f>
        <v>0</v>
      </c>
      <c r="BK57" s="39" t="n">
        <f aca="false">AU57*BB57</f>
        <v>7114.6465643978</v>
      </c>
      <c r="BL57" s="39" t="n">
        <f aca="false">AV57*BB57</f>
        <v>2301.79741789341</v>
      </c>
      <c r="BM57" s="39" t="n">
        <f aca="false">H57*(Assumptions!$C$68+Assumptions!$C$66)*Assumptions!$F$10</f>
        <v>0</v>
      </c>
      <c r="BN57" s="39" t="n">
        <f aca="false">K57*$C$19+L57*$D$19+M57*$E$19+N57*$F$19+O57*$G$19</f>
        <v>0</v>
      </c>
      <c r="BO57" s="39" t="n">
        <f aca="false">Assumptions!$C$99*W57</f>
        <v>487.31159288008</v>
      </c>
      <c r="BP57" s="39" t="n">
        <f aca="false">Assumptions!E$98/12+P57*Assumptions!$C$101/12</f>
        <v>1122.75</v>
      </c>
      <c r="BQ57" s="39" t="n">
        <f aca="false">BD57*Assumptions!$C$102/12+Assumptions!$C$100</f>
        <v>242.014425220718</v>
      </c>
      <c r="BR57" s="39" t="n">
        <f aca="false">SUM(BF57:BQ57)</f>
        <v>11268.520000392</v>
      </c>
      <c r="BS57" s="39" t="n">
        <f aca="false">W57-AD57-BR57</f>
        <v>8147.99677442345</v>
      </c>
      <c r="BT57" s="39" t="n">
        <f aca="false">MAX(0,BD57-BD56)*Assumptions!$C$103</f>
        <v>49.7396170254238</v>
      </c>
      <c r="BU57" s="39" t="n">
        <f aca="false">0</f>
        <v>0</v>
      </c>
      <c r="BV57" s="39" t="n">
        <f aca="false">-(W57-W56)*12*Assumptions!$C$108</f>
        <v>-296.80908777936</v>
      </c>
      <c r="BW57" s="39" t="n">
        <f aca="false">0</f>
        <v>0</v>
      </c>
      <c r="BX57" s="39" t="n">
        <f aca="false">BS57-BT57+BU57+BV57+BW57</f>
        <v>7801.44806961867</v>
      </c>
      <c r="BY57" s="29" t="n">
        <f aca="false">BY56+BX57</f>
        <v>40493.2621150442</v>
      </c>
    </row>
    <row r="58" customFormat="false" ht="15" hidden="false" customHeight="false" outlineLevel="0" collapsed="false">
      <c r="A58" s="45" t="n">
        <v>28</v>
      </c>
      <c r="B58" s="45" t="n">
        <v>2029</v>
      </c>
      <c r="C58" s="45" t="n">
        <v>2</v>
      </c>
      <c r="D58" s="35" t="n">
        <f aca="false">ROUND(Assumptions!E$18*Assumptions!$F$7/12,0)</f>
        <v>250</v>
      </c>
      <c r="E58" s="35" t="n">
        <f aca="false">Rollout!$C$10-I57</f>
        <v>8357</v>
      </c>
      <c r="F58" s="39" t="n">
        <f aca="false">H58*$C$26+H57*$D$26+H56*$E$26+H55*$F$26+H54*$G$26+H53*$H$26+H52*$I$26+H51*$J$26+H50*$K$26+H49*$L$26+H48*$M$26+H47*$N$26</f>
        <v>0</v>
      </c>
      <c r="G58" s="39" t="n">
        <f aca="false">BY57-Assumptions!$C$110-F57-Assumptions!$C$111*(Assumptions!$C$100+Assumptions!E$98/12+BC57)</f>
        <v>-655.937271863302</v>
      </c>
      <c r="H58" s="35" t="n">
        <f aca="false">IF(BE57&gt;0,0,MAX(0,MIN(D58,E58,INT(G58/$C$27))))</f>
        <v>0</v>
      </c>
      <c r="I58" s="35" t="n">
        <f aca="false">I57+H58</f>
        <v>76</v>
      </c>
      <c r="J58" s="35" t="n">
        <f aca="false">SUM(H47:H58)</f>
        <v>43</v>
      </c>
      <c r="K58" s="35" t="n">
        <f aca="false">H58*$C$23+H57*$D$23+H56*$E$23+H55*$F$23+H54*$G$23+H53*$H$23+H52*$I$23+H51*$J$23+H50*$K$23+H49*$L$23+H48*$M$23+H47*$N$23</f>
        <v>40.5457</v>
      </c>
      <c r="L58" s="35" t="n">
        <f aca="false">SUM(H35:H46)</f>
        <v>19</v>
      </c>
      <c r="M58" s="35" t="n">
        <f aca="false">SUM(H31:H34)</f>
        <v>14</v>
      </c>
      <c r="N58" s="35" t="n">
        <f aca="false">0</f>
        <v>0</v>
      </c>
      <c r="O58" s="35" t="n">
        <f aca="false">0</f>
        <v>0</v>
      </c>
      <c r="P58" s="35" t="n">
        <f aca="false">J58*$C$6+L58*$D$6+M58*$E$6+N58*$F$6+O58*$G$6</f>
        <v>74.73</v>
      </c>
      <c r="Q58" s="39" t="n">
        <f aca="false">K58*$C$7+L58*$D$7+M58*$E$7+N58*$F$7+O58*$G$7</f>
        <v>7945.3585008</v>
      </c>
      <c r="R58" s="39" t="n">
        <f aca="false">K58*$C$8+L58*$D$8+M58*$E$8+N58*$F$8+O58*$G$8</f>
        <v>5529.984734976</v>
      </c>
      <c r="S58" s="39" t="n">
        <f aca="false">K58*$C$9+L58*$D$9+M58*$E$9+N58*$F$9+O58*$G$9</f>
        <v>2865.1392</v>
      </c>
      <c r="T58" s="39" t="n">
        <f aca="false">K58*$C$10+L58*$D$10+M58*$E$10+N58*$F$10+O58*$G$10</f>
        <v>3890.70571995</v>
      </c>
      <c r="U58" s="39" t="n">
        <f aca="false">K58*$C$11+L58*$D$11+M58*$E$11+N58*$F$11+O58*$G$11</f>
        <v>3409.0497</v>
      </c>
      <c r="V58" s="39" t="n">
        <f aca="false">K58*$C$12+L58*$D$12+M58*$E$12+N58*$F$12+O58*$G$12</f>
        <v>1549.77984</v>
      </c>
      <c r="W58" s="39" t="n">
        <f aca="false">SUM(Q58:V58)</f>
        <v>25190.017695726</v>
      </c>
      <c r="X58" s="39" t="n">
        <f aca="false">J58*$C$14+L58*$D$14+M58*$E$14+N58*$F$14+O58*$G$14</f>
        <v>2377.597225</v>
      </c>
      <c r="Y58" s="39" t="n">
        <f aca="false">J58*$C$15+L58*$D$15+M58*$E$15+N58*$F$15+O58*$G$15</f>
        <v>1868.25</v>
      </c>
      <c r="Z58" s="39" t="n">
        <f aca="false">K58*$C$16+L58*$D$16+M58*$E$16+N58*$F$16+O58*$G$16</f>
        <v>43.360688665</v>
      </c>
      <c r="AA58" s="39" t="n">
        <f aca="false">K58*$C$17+L58*$D$17+M58*$E$17+N58*$F$17+O58*$G$17</f>
        <v>637.866279952704</v>
      </c>
      <c r="AB58" s="39" t="n">
        <f aca="false">J58*$C$18+L58*$D$18+M58*$E$18+N58*$F$18+O58*$G$18</f>
        <v>52.8833333333333</v>
      </c>
      <c r="AC58" s="39" t="n">
        <f aca="false">H58*Assumptions!$C$67*Assumptions!$F$10</f>
        <v>0</v>
      </c>
      <c r="AD58" s="39" t="n">
        <f aca="false">SUM(X58:AC58)</f>
        <v>4979.95752695104</v>
      </c>
      <c r="AE58" s="35" t="n">
        <f aca="false">K58*$C$20+L58*$D$20+M58*$E$20+N58*$F$20+O58*$G$20</f>
        <v>17344.275466</v>
      </c>
      <c r="AF58" s="35" t="n">
        <f aca="false">K58*$C$21+L58*$D$21+M58*$E$21+N58*$F$21+O58*$G$21</f>
        <v>949237.7244</v>
      </c>
      <c r="AG58" s="35" t="n">
        <f aca="false">K58*$C$22+L58*$D$22+M58*$E$22+N58*$F$22+O58*$G$22</f>
        <v>852.545220384</v>
      </c>
      <c r="AH58" s="37" t="n">
        <f aca="false">P58/Assumptions!$C$76</f>
        <v>0.07473</v>
      </c>
      <c r="AI58" s="37" t="n">
        <f aca="false">P58/Assumptions!$C$77</f>
        <v>0.07473</v>
      </c>
      <c r="AJ58" s="37" t="n">
        <f aca="false">P58/Assumptions!$C$78</f>
        <v>0.62275</v>
      </c>
      <c r="AK58" s="37" t="n">
        <f aca="false">H58/(Assumptions!$C$19/12)</f>
        <v>0</v>
      </c>
      <c r="AL58" s="37" t="n">
        <f aca="false">Assumptions!E$92</f>
        <v>0</v>
      </c>
      <c r="AM58" s="37" t="n">
        <f aca="false">Assumptions!E$93</f>
        <v>2</v>
      </c>
      <c r="AN58" s="37" t="n">
        <f aca="false">Assumptions!E$94</f>
        <v>1</v>
      </c>
      <c r="AO58" s="37" t="n">
        <f aca="false">SUM(AH58:AN58)</f>
        <v>3.77221</v>
      </c>
      <c r="AP58" s="39" t="n">
        <f aca="false">AH58*Assumptions!$C$85*(1+Assumptions!$C$73)*(1+Assumptions!$C$74)^2/12</f>
        <v>578.091040625</v>
      </c>
      <c r="AQ58" s="39" t="n">
        <f aca="false">AI58*Assumptions!$C$86*(1+Assumptions!$C$73)*(1+Assumptions!$C$74)^2/12</f>
        <v>536.7988234375</v>
      </c>
      <c r="AR58" s="39" t="n">
        <f aca="false">AJ58*Assumptions!$C$87*(1+Assumptions!$C$73)*(1+Assumptions!$C$74)^2/12</f>
        <v>3785.11990885417</v>
      </c>
      <c r="AS58" s="39" t="n">
        <f aca="false">AK58*Assumptions!$C$85*(1+Assumptions!$C$73)*(1+Assumptions!$C$74)^2/12</f>
        <v>0</v>
      </c>
      <c r="AT58" s="39" t="n">
        <f aca="false">AL58*Assumptions!$C$83*(1+Assumptions!$C$73)*(1+Assumptions!$C$74)^2/12</f>
        <v>0</v>
      </c>
      <c r="AU58" s="39" t="n">
        <f aca="false">AM58*Assumptions!$C$84*(1+Assumptions!$C$73)*(1+Assumptions!$C$74)^2/12</f>
        <v>37573.5416666667</v>
      </c>
      <c r="AV58" s="39" t="n">
        <f aca="false">AN58*Assumptions!$C$88*(1+Assumptions!$C$73)*(1+Assumptions!$C$74)^2/12</f>
        <v>12156.1458333333</v>
      </c>
      <c r="AW58" s="39" t="n">
        <f aca="false">SUM(AP58:AV58)</f>
        <v>54629.6972729167</v>
      </c>
      <c r="AX58" s="39" t="n">
        <f aca="false">MIN(Assumptions!$C$80*W57,MAX(0,BS57+BC57))</f>
        <v>9746.2318576016</v>
      </c>
      <c r="AY58" s="39" t="n">
        <f aca="false">IF(SUM(AH58:AK58)&lt;=0,0,MIN(AX58,SUM(AP58:AS58)*MAX(0,1-Assumptions!$C$79/SUM(AH58:AK58))))</f>
        <v>0</v>
      </c>
      <c r="AZ58" s="36" t="n">
        <f aca="false">IF(SUM(AP58:AS58)=0,0,AY58/SUM(AP58:AS58))</f>
        <v>0</v>
      </c>
      <c r="BA58" s="39" t="n">
        <f aca="false">MIN(AX58-AY58,SUM(AT58:AV58))</f>
        <v>9746.2318576016</v>
      </c>
      <c r="BB58" s="36" t="n">
        <f aca="false">IF(SUM(AT58:AV58)=0,0,BA58/SUM(AT58:AV58))</f>
        <v>0.195984176606813</v>
      </c>
      <c r="BC58" s="39" t="n">
        <f aca="false">AY58+BA58</f>
        <v>9746.2318576016</v>
      </c>
      <c r="BD58" s="37" t="n">
        <f aca="false">SUM(AH58:AK58)*AZ58+SUM(AL58:AN58)*BB58</f>
        <v>0.587952529820438</v>
      </c>
      <c r="BE58" s="37" t="n">
        <f aca="false">MAX(0,SUM(AH58:AK58)*(1-AZ58)-Assumptions!$C$79)</f>
        <v>0</v>
      </c>
      <c r="BF58" s="39" t="n">
        <f aca="false">AP58*AZ58</f>
        <v>0</v>
      </c>
      <c r="BG58" s="39" t="n">
        <f aca="false">AQ58*AZ58</f>
        <v>0</v>
      </c>
      <c r="BH58" s="39" t="n">
        <f aca="false">AR58*AZ58</f>
        <v>0</v>
      </c>
      <c r="BI58" s="39" t="n">
        <f aca="false">AS58*AZ58</f>
        <v>0</v>
      </c>
      <c r="BJ58" s="39" t="n">
        <f aca="false">AT58*BB58</f>
        <v>0</v>
      </c>
      <c r="BK58" s="39" t="n">
        <f aca="false">AU58*BB58</f>
        <v>7363.81962574343</v>
      </c>
      <c r="BL58" s="39" t="n">
        <f aca="false">AV58*BB58</f>
        <v>2382.41223185817</v>
      </c>
      <c r="BM58" s="39" t="n">
        <f aca="false">H58*(Assumptions!$C$68+Assumptions!$C$66)*Assumptions!$F$10</f>
        <v>0</v>
      </c>
      <c r="BN58" s="39" t="n">
        <f aca="false">K58*$C$19+L58*$D$19+M58*$E$19+N58*$F$19+O58*$G$19</f>
        <v>0</v>
      </c>
      <c r="BO58" s="39" t="n">
        <f aca="false">Assumptions!$C$99*W58</f>
        <v>503.80035391452</v>
      </c>
      <c r="BP58" s="39" t="n">
        <f aca="false">Assumptions!E$98/12+P58*Assumptions!$C$101/12</f>
        <v>1122.75</v>
      </c>
      <c r="BQ58" s="39" t="n">
        <f aca="false">BD58*Assumptions!$C$102/12+Assumptions!$C$100</f>
        <v>246.988132455109</v>
      </c>
      <c r="BR58" s="39" t="n">
        <f aca="false">SUM(BF58:BQ58)</f>
        <v>11619.7703439712</v>
      </c>
      <c r="BS58" s="39" t="n">
        <f aca="false">W58-AD58-BR58</f>
        <v>8590.28982480373</v>
      </c>
      <c r="BT58" s="39" t="n">
        <f aca="false">MAX(0,BD58-BD57)*Assumptions!$C$103</f>
        <v>49.7370723439192</v>
      </c>
      <c r="BU58" s="39" t="n">
        <f aca="false">0</f>
        <v>0</v>
      </c>
      <c r="BV58" s="39" t="n">
        <f aca="false">-(W58-W57)*12*Assumptions!$C$108</f>
        <v>-296.797698619921</v>
      </c>
      <c r="BW58" s="39" t="n">
        <f aca="false">0</f>
        <v>0</v>
      </c>
      <c r="BX58" s="39" t="n">
        <f aca="false">BS58-BT58+BU58+BV58+BW58</f>
        <v>8243.75505383989</v>
      </c>
      <c r="BY58" s="29" t="n">
        <f aca="false">BY57+BX58</f>
        <v>48737.0171688841</v>
      </c>
    </row>
    <row r="59" customFormat="false" ht="15" hidden="false" customHeight="false" outlineLevel="0" collapsed="false">
      <c r="A59" s="45" t="n">
        <v>29</v>
      </c>
      <c r="B59" s="45" t="n">
        <v>2029</v>
      </c>
      <c r="C59" s="45" t="n">
        <v>2</v>
      </c>
      <c r="D59" s="35" t="n">
        <f aca="false">ROUND(Assumptions!E$18*Assumptions!$F$7/12,0)</f>
        <v>250</v>
      </c>
      <c r="E59" s="35" t="n">
        <f aca="false">Rollout!$C$10-I58</f>
        <v>8357</v>
      </c>
      <c r="F59" s="39" t="n">
        <f aca="false">H59*$C$26+H58*$D$26+H57*$E$26+H56*$F$26+H55*$G$26+H54*$H$26+H53*$I$26+H52*$J$26+H51*$K$26+H50*$L$26+H49*$M$26+H48*$N$26</f>
        <v>3162.80203012344</v>
      </c>
      <c r="G59" s="39" t="n">
        <f aca="false">BY58-Assumptions!$C$110-F58-Assumptions!$C$111*(Assumptions!$C$100+Assumptions!E$98/12+BC58)</f>
        <v>6352.08973847773</v>
      </c>
      <c r="H59" s="35" t="n">
        <f aca="false">IF(BE58&gt;0,0,MAX(0,MIN(D59,E59,INT(G59/$C$27))))</f>
        <v>30</v>
      </c>
      <c r="I59" s="35" t="n">
        <f aca="false">I58+H59</f>
        <v>106</v>
      </c>
      <c r="J59" s="35" t="n">
        <f aca="false">SUM(H48:H59)</f>
        <v>73</v>
      </c>
      <c r="K59" s="35" t="n">
        <f aca="false">H59*$C$23+H58*$D$23+H57*$E$23+H56*$F$23+H55*$G$23+H54*$H$23+H53*$I$23+H52*$J$23+H51*$K$23+H50*$L$23+H49*$M$23+H48*$N$23</f>
        <v>48.3631</v>
      </c>
      <c r="L59" s="35" t="n">
        <f aca="false">SUM(H36:H47)</f>
        <v>19</v>
      </c>
      <c r="M59" s="35" t="n">
        <f aca="false">SUM(H31:H35)</f>
        <v>14</v>
      </c>
      <c r="N59" s="35" t="n">
        <f aca="false">0</f>
        <v>0</v>
      </c>
      <c r="O59" s="35" t="n">
        <f aca="false">0</f>
        <v>0</v>
      </c>
      <c r="P59" s="35" t="n">
        <f aca="false">J59*$C$6+L59*$D$6+M59*$E$6+N59*$F$6+O59*$G$6</f>
        <v>104.73</v>
      </c>
      <c r="Q59" s="39" t="n">
        <f aca="false">K59*$C$7+L59*$D$7+M59*$E$7+N59*$F$7+O59*$G$7</f>
        <v>8327.9733264</v>
      </c>
      <c r="R59" s="39" t="n">
        <f aca="false">K59*$C$8+L59*$D$8+M59*$E$8+N59*$F$8+O59*$G$8</f>
        <v>5736.424132608</v>
      </c>
      <c r="S59" s="39" t="n">
        <f aca="false">K59*$C$9+L59*$D$9+M59*$E$9+N59*$F$9+O59*$G$9</f>
        <v>2865.1392</v>
      </c>
      <c r="T59" s="39" t="n">
        <f aca="false">K59*$C$10+L59*$D$10+M59*$E$10+N59*$F$10+O59*$G$10</f>
        <v>3961.87142085</v>
      </c>
      <c r="U59" s="39" t="n">
        <f aca="false">K59*$C$11+L59*$D$11+M59*$E$11+N59*$F$11+O59*$G$11</f>
        <v>3573.2151</v>
      </c>
      <c r="V59" s="39" t="n">
        <f aca="false">K59*$C$12+L59*$D$12+M59*$E$12+N59*$F$12+O59*$G$12</f>
        <v>1549.77984</v>
      </c>
      <c r="W59" s="39" t="n">
        <f aca="false">SUM(Q59:V59)</f>
        <v>26014.403019858</v>
      </c>
      <c r="X59" s="39" t="n">
        <f aca="false">J59*$C$14+L59*$D$14+M59*$E$14+N59*$F$14+O59*$G$14</f>
        <v>3332.072225</v>
      </c>
      <c r="Y59" s="39" t="n">
        <f aca="false">J59*$C$15+L59*$D$15+M59*$E$15+N59*$F$15+O59*$G$15</f>
        <v>2618.25</v>
      </c>
      <c r="Z59" s="39" t="n">
        <f aca="false">K59*$C$16+L59*$D$16+M59*$E$16+N59*$F$16+O59*$G$16</f>
        <v>45.732878695</v>
      </c>
      <c r="AA59" s="39" t="n">
        <f aca="false">K59*$C$17+L59*$D$17+M59*$E$17+N59*$F$17+O59*$G$17</f>
        <v>666.386771792832</v>
      </c>
      <c r="AB59" s="39" t="n">
        <f aca="false">J59*$C$18+L59*$D$18+M59*$E$18+N59*$F$18+O59*$G$18</f>
        <v>52.8833333333333</v>
      </c>
      <c r="AC59" s="39" t="n">
        <f aca="false">H59*Assumptions!$C$67*Assumptions!$F$10</f>
        <v>450</v>
      </c>
      <c r="AD59" s="39" t="n">
        <f aca="false">SUM(X59:AC59)</f>
        <v>7165.32520882117</v>
      </c>
      <c r="AE59" s="35" t="n">
        <f aca="false">K59*$C$20+L59*$D$20+M59*$E$20+N59*$F$20+O59*$G$20</f>
        <v>18293.151478</v>
      </c>
      <c r="AF59" s="35" t="n">
        <f aca="false">K59*$C$21+L59*$D$21+M59*$E$21+N59*$F$21+O59*$G$21</f>
        <v>1012496.1252</v>
      </c>
      <c r="AG59" s="35" t="n">
        <f aca="false">K59*$C$22+L59*$D$22+M59*$E$22+N59*$F$22+O59*$G$22</f>
        <v>890.671618272</v>
      </c>
      <c r="AH59" s="37" t="n">
        <f aca="false">P59/Assumptions!$C$76</f>
        <v>0.10473</v>
      </c>
      <c r="AI59" s="37" t="n">
        <f aca="false">P59/Assumptions!$C$77</f>
        <v>0.10473</v>
      </c>
      <c r="AJ59" s="37" t="n">
        <f aca="false">P59/Assumptions!$C$78</f>
        <v>0.87275</v>
      </c>
      <c r="AK59" s="37" t="n">
        <f aca="false">H59/(Assumptions!$C$19/12)</f>
        <v>0.9</v>
      </c>
      <c r="AL59" s="37" t="n">
        <f aca="false">Assumptions!E$92</f>
        <v>0</v>
      </c>
      <c r="AM59" s="37" t="n">
        <f aca="false">Assumptions!E$93</f>
        <v>2</v>
      </c>
      <c r="AN59" s="37" t="n">
        <f aca="false">Assumptions!E$94</f>
        <v>1</v>
      </c>
      <c r="AO59" s="37" t="n">
        <f aca="false">SUM(AH59:AN59)</f>
        <v>4.98221</v>
      </c>
      <c r="AP59" s="39" t="n">
        <f aca="false">AH59*Assumptions!$C$85*(1+Assumptions!$C$73)*(1+Assumptions!$C$74)^2/12</f>
        <v>810.162915625</v>
      </c>
      <c r="AQ59" s="39" t="n">
        <f aca="false">AI59*Assumptions!$C$86*(1+Assumptions!$C$73)*(1+Assumptions!$C$74)^2/12</f>
        <v>752.2941359375</v>
      </c>
      <c r="AR59" s="39" t="n">
        <f aca="false">AJ59*Assumptions!$C$87*(1+Assumptions!$C$73)*(1+Assumptions!$C$74)^2/12</f>
        <v>5304.63813802083</v>
      </c>
      <c r="AS59" s="39" t="n">
        <f aca="false">AK59*Assumptions!$C$85*(1+Assumptions!$C$73)*(1+Assumptions!$C$74)^2/12</f>
        <v>6962.15625</v>
      </c>
      <c r="AT59" s="39" t="n">
        <f aca="false">AL59*Assumptions!$C$83*(1+Assumptions!$C$73)*(1+Assumptions!$C$74)^2/12</f>
        <v>0</v>
      </c>
      <c r="AU59" s="39" t="n">
        <f aca="false">AM59*Assumptions!$C$84*(1+Assumptions!$C$73)*(1+Assumptions!$C$74)^2/12</f>
        <v>37573.5416666667</v>
      </c>
      <c r="AV59" s="39" t="n">
        <f aca="false">AN59*Assumptions!$C$88*(1+Assumptions!$C$73)*(1+Assumptions!$C$74)^2/12</f>
        <v>12156.1458333333</v>
      </c>
      <c r="AW59" s="39" t="n">
        <f aca="false">SUM(AP59:AV59)</f>
        <v>63558.9389395833</v>
      </c>
      <c r="AX59" s="39" t="n">
        <f aca="false">MIN(Assumptions!$C$80*W58,MAX(0,BS58+BC58))</f>
        <v>10076.0070782904</v>
      </c>
      <c r="AY59" s="39" t="n">
        <f aca="false">IF(SUM(AH59:AK59)&lt;=0,0,MIN(AX59,SUM(AP59:AS59)*MAX(0,1-Assumptions!$C$79/SUM(AH59:AK59))))</f>
        <v>0</v>
      </c>
      <c r="AZ59" s="36" t="n">
        <f aca="false">IF(SUM(AP59:AS59)=0,0,AY59/SUM(AP59:AS59))</f>
        <v>0</v>
      </c>
      <c r="BA59" s="39" t="n">
        <f aca="false">MIN(AX59-AY59,SUM(AT59:AV59))</f>
        <v>10076.0070782904</v>
      </c>
      <c r="BB59" s="36" t="n">
        <f aca="false">IF(SUM(AT59:AV59)=0,0,BA59/SUM(AT59:AV59))</f>
        <v>0.202615531784518</v>
      </c>
      <c r="BC59" s="39" t="n">
        <f aca="false">AY59+BA59</f>
        <v>10076.0070782904</v>
      </c>
      <c r="BD59" s="37" t="n">
        <f aca="false">SUM(AH59:AK59)*AZ59+SUM(AL59:AN59)*BB59</f>
        <v>0.607846595353554</v>
      </c>
      <c r="BE59" s="37" t="n">
        <f aca="false">MAX(0,SUM(AH59:AK59)*(1-AZ59)-Assumptions!$C$79)</f>
        <v>0</v>
      </c>
      <c r="BF59" s="39" t="n">
        <f aca="false">AP59*AZ59</f>
        <v>0</v>
      </c>
      <c r="BG59" s="39" t="n">
        <f aca="false">AQ59*AZ59</f>
        <v>0</v>
      </c>
      <c r="BH59" s="39" t="n">
        <f aca="false">AR59*AZ59</f>
        <v>0</v>
      </c>
      <c r="BI59" s="39" t="n">
        <f aca="false">AS59*AZ59</f>
        <v>0</v>
      </c>
      <c r="BJ59" s="39" t="n">
        <f aca="false">AT59*BB59</f>
        <v>0</v>
      </c>
      <c r="BK59" s="39" t="n">
        <f aca="false">AU59*BB59</f>
        <v>7612.98312581941</v>
      </c>
      <c r="BL59" s="39" t="n">
        <f aca="false">AV59*BB59</f>
        <v>2463.02395247099</v>
      </c>
      <c r="BM59" s="39" t="n">
        <f aca="false">H59*(Assumptions!$C$68+Assumptions!$C$66)*Assumptions!$F$10</f>
        <v>750</v>
      </c>
      <c r="BN59" s="39" t="n">
        <f aca="false">K59*$C$19+L59*$D$19+M59*$E$19+N59*$F$19+O59*$G$19</f>
        <v>0</v>
      </c>
      <c r="BO59" s="39" t="n">
        <f aca="false">Assumptions!$C$99*W59</f>
        <v>520.28806039716</v>
      </c>
      <c r="BP59" s="39" t="n">
        <f aca="false">Assumptions!E$98/12+P59*Assumptions!$C$101/12</f>
        <v>1372.75</v>
      </c>
      <c r="BQ59" s="39" t="n">
        <f aca="false">BD59*Assumptions!$C$102/12+Assumptions!$C$100</f>
        <v>251.961648838389</v>
      </c>
      <c r="BR59" s="39" t="n">
        <f aca="false">SUM(BF59:BQ59)</f>
        <v>12971.0067875259</v>
      </c>
      <c r="BS59" s="39" t="n">
        <f aca="false">W59-AD59-BR59</f>
        <v>5878.07102351089</v>
      </c>
      <c r="BT59" s="39" t="n">
        <f aca="false">MAX(0,BD59-BD58)*Assumptions!$C$103</f>
        <v>49.7351638327909</v>
      </c>
      <c r="BU59" s="39" t="n">
        <f aca="false">0</f>
        <v>0</v>
      </c>
      <c r="BV59" s="39" t="n">
        <f aca="false">-(W59-W58)*12*Assumptions!$C$108</f>
        <v>-296.77871668752</v>
      </c>
      <c r="BW59" s="39" t="n">
        <f aca="false">0</f>
        <v>0</v>
      </c>
      <c r="BX59" s="39" t="n">
        <f aca="false">BS59-BT59+BU59+BV59+BW59</f>
        <v>5531.55714299058</v>
      </c>
      <c r="BY59" s="29" t="n">
        <f aca="false">BY58+BX59</f>
        <v>54268.5743118747</v>
      </c>
    </row>
    <row r="60" customFormat="false" ht="15" hidden="false" customHeight="false" outlineLevel="0" collapsed="false">
      <c r="A60" s="45" t="n">
        <v>30</v>
      </c>
      <c r="B60" s="45" t="n">
        <v>2029</v>
      </c>
      <c r="C60" s="45" t="n">
        <v>2</v>
      </c>
      <c r="D60" s="35" t="n">
        <f aca="false">ROUND(Assumptions!E$18*Assumptions!$F$7/12,0)</f>
        <v>250</v>
      </c>
      <c r="E60" s="35" t="n">
        <f aca="false">Rollout!$C$10-I59</f>
        <v>8327</v>
      </c>
      <c r="F60" s="39" t="n">
        <f aca="false">H60*$C$26+H59*$D$26+H58*$E$26+H57*$F$26+H56*$G$26+H55*$H$26+H54*$I$26+H53*$J$26+H52*$K$26+H51*$L$26+H50*$M$26+H49*$N$26</f>
        <v>5244.80733117204</v>
      </c>
      <c r="G60" s="39" t="n">
        <f aca="false">BY59-Assumptions!$C$110-F59-Assumptions!$C$111*(Assumptions!$C$100+Assumptions!E$98/12+BC59)</f>
        <v>7401.74396858966</v>
      </c>
      <c r="H60" s="35" t="n">
        <f aca="false">IF(BE59&gt;0,0,MAX(0,MIN(D60,E60,INT(G60/$C$27))))</f>
        <v>35</v>
      </c>
      <c r="I60" s="35" t="n">
        <f aca="false">I59+H60</f>
        <v>141</v>
      </c>
      <c r="J60" s="35" t="n">
        <f aca="false">SUM(H49:H60)</f>
        <v>108</v>
      </c>
      <c r="K60" s="35" t="n">
        <f aca="false">H60*$C$23+H59*$D$23+H58*$E$23+H57*$F$23+H56*$G$23+H55*$H$23+H54*$I$23+H53*$J$23+H52*$K$23+H51*$L$23+H50*$M$23+H49*$N$23</f>
        <v>61.6353</v>
      </c>
      <c r="L60" s="35" t="n">
        <f aca="false">SUM(H37:H48)</f>
        <v>19</v>
      </c>
      <c r="M60" s="35" t="n">
        <f aca="false">SUM(H31:H36)</f>
        <v>14</v>
      </c>
      <c r="N60" s="35" t="n">
        <f aca="false">0</f>
        <v>0</v>
      </c>
      <c r="O60" s="35" t="n">
        <f aca="false">0</f>
        <v>0</v>
      </c>
      <c r="P60" s="35" t="n">
        <f aca="false">J60*$C$6+L60*$D$6+M60*$E$6+N60*$F$6+O60*$G$6</f>
        <v>139.73</v>
      </c>
      <c r="Q60" s="39" t="n">
        <f aca="false">K60*$C$7+L60*$D$7+M60*$E$7+N60*$F$7+O60*$G$7</f>
        <v>8977.5678832</v>
      </c>
      <c r="R60" s="39" t="n">
        <f aca="false">K60*$C$8+L60*$D$8+M60*$E$8+N60*$F$8+O60*$G$8</f>
        <v>6086.912143104</v>
      </c>
      <c r="S60" s="39" t="n">
        <f aca="false">K60*$C$9+L60*$D$9+M60*$E$9+N60*$F$9+O60*$G$9</f>
        <v>2865.1392</v>
      </c>
      <c r="T60" s="39" t="n">
        <f aca="false">K60*$C$10+L60*$D$10+M60*$E$10+N60*$F$10+O60*$G$10</f>
        <v>4082.69489355</v>
      </c>
      <c r="U60" s="39" t="n">
        <f aca="false">K60*$C$11+L60*$D$11+M60*$E$11+N60*$F$11+O60*$G$11</f>
        <v>3851.9313</v>
      </c>
      <c r="V60" s="39" t="n">
        <f aca="false">K60*$C$12+L60*$D$12+M60*$E$12+N60*$F$12+O60*$G$12</f>
        <v>1549.77984</v>
      </c>
      <c r="W60" s="39" t="n">
        <f aca="false">SUM(Q60:V60)</f>
        <v>27414.025259854</v>
      </c>
      <c r="X60" s="39" t="n">
        <f aca="false">J60*$C$14+L60*$D$14+M60*$E$14+N60*$F$14+O60*$G$14</f>
        <v>4445.62639166667</v>
      </c>
      <c r="Y60" s="39" t="n">
        <f aca="false">J60*$C$15+L60*$D$15+M60*$E$15+N60*$F$15+O60*$G$15</f>
        <v>3493.25</v>
      </c>
      <c r="Z60" s="39" t="n">
        <f aca="false">K60*$C$16+L60*$D$16+M60*$E$16+N60*$F$16+O60*$G$16</f>
        <v>49.760327785</v>
      </c>
      <c r="AA60" s="39" t="n">
        <f aca="false">K60*$C$17+L60*$D$17+M60*$E$17+N60*$F$17+O60*$G$17</f>
        <v>714.808199863616</v>
      </c>
      <c r="AB60" s="39" t="n">
        <f aca="false">J60*$C$18+L60*$D$18+M60*$E$18+N60*$F$18+O60*$G$18</f>
        <v>52.8833333333333</v>
      </c>
      <c r="AC60" s="39" t="n">
        <f aca="false">H60*Assumptions!$C$67*Assumptions!$F$10</f>
        <v>525</v>
      </c>
      <c r="AD60" s="39" t="n">
        <f aca="false">SUM(X60:AC60)</f>
        <v>9281.32825264862</v>
      </c>
      <c r="AE60" s="35" t="n">
        <f aca="false">K60*$C$20+L60*$D$20+M60*$E$20+N60*$F$20+O60*$G$20</f>
        <v>19904.131114</v>
      </c>
      <c r="AF60" s="35" t="n">
        <f aca="false">K60*$C$21+L60*$D$21+M60*$E$21+N60*$F$21+O60*$G$21</f>
        <v>1119894.7676</v>
      </c>
      <c r="AG60" s="35" t="n">
        <f aca="false">K60*$C$22+L60*$D$22+M60*$E$22+N60*$F$22+O60*$G$22</f>
        <v>955.401730336</v>
      </c>
      <c r="AH60" s="37" t="n">
        <f aca="false">P60/Assumptions!$C$76</f>
        <v>0.13973</v>
      </c>
      <c r="AI60" s="37" t="n">
        <f aca="false">P60/Assumptions!$C$77</f>
        <v>0.13973</v>
      </c>
      <c r="AJ60" s="37" t="n">
        <f aca="false">P60/Assumptions!$C$78</f>
        <v>1.16441666666667</v>
      </c>
      <c r="AK60" s="37" t="n">
        <f aca="false">H60/(Assumptions!$C$19/12)</f>
        <v>1.05</v>
      </c>
      <c r="AL60" s="37" t="n">
        <f aca="false">Assumptions!E$92</f>
        <v>0</v>
      </c>
      <c r="AM60" s="37" t="n">
        <f aca="false">Assumptions!E$93</f>
        <v>2</v>
      </c>
      <c r="AN60" s="37" t="n">
        <f aca="false">Assumptions!E$94</f>
        <v>1</v>
      </c>
      <c r="AO60" s="37" t="n">
        <f aca="false">SUM(AH60:AN60)</f>
        <v>5.49387666666667</v>
      </c>
      <c r="AP60" s="39" t="n">
        <f aca="false">AH60*Assumptions!$C$85*(1+Assumptions!$C$73)*(1+Assumptions!$C$74)^2/12</f>
        <v>1080.91343645833</v>
      </c>
      <c r="AQ60" s="39" t="n">
        <f aca="false">AI60*Assumptions!$C$86*(1+Assumptions!$C$73)*(1+Assumptions!$C$74)^2/12</f>
        <v>1003.70533385417</v>
      </c>
      <c r="AR60" s="39" t="n">
        <f aca="false">AJ60*Assumptions!$C$87*(1+Assumptions!$C$73)*(1+Assumptions!$C$74)^2/12</f>
        <v>7077.40940538195</v>
      </c>
      <c r="AS60" s="39" t="n">
        <f aca="false">AK60*Assumptions!$C$85*(1+Assumptions!$C$73)*(1+Assumptions!$C$74)^2/12</f>
        <v>8122.515625</v>
      </c>
      <c r="AT60" s="39" t="n">
        <f aca="false">AL60*Assumptions!$C$83*(1+Assumptions!$C$73)*(1+Assumptions!$C$74)^2/12</f>
        <v>0</v>
      </c>
      <c r="AU60" s="39" t="n">
        <f aca="false">AM60*Assumptions!$C$84*(1+Assumptions!$C$73)*(1+Assumptions!$C$74)^2/12</f>
        <v>37573.5416666667</v>
      </c>
      <c r="AV60" s="39" t="n">
        <f aca="false">AN60*Assumptions!$C$88*(1+Assumptions!$C$73)*(1+Assumptions!$C$74)^2/12</f>
        <v>12156.1458333333</v>
      </c>
      <c r="AW60" s="39" t="n">
        <f aca="false">SUM(AP60:AV60)</f>
        <v>67014.2313006945</v>
      </c>
      <c r="AX60" s="39" t="n">
        <f aca="false">MIN(Assumptions!$C$80*W59,MAX(0,BS59+BC59))</f>
        <v>10405.7612079432</v>
      </c>
      <c r="AY60" s="39" t="n">
        <f aca="false">IF(SUM(AH60:AK60)&lt;=0,0,MIN(AX60,SUM(AP60:AS60)*MAX(0,1-Assumptions!$C$79/SUM(AH60:AK60))))</f>
        <v>3422.95711381383</v>
      </c>
      <c r="AZ60" s="36" t="n">
        <f aca="false">IF(SUM(AP60:AS60)=0,0,AY60/SUM(AP60:AS60))</f>
        <v>0.198035722162149</v>
      </c>
      <c r="BA60" s="39" t="n">
        <f aca="false">MIN(AX60-AY60,SUM(AT60:AV60))</f>
        <v>6982.80409412938</v>
      </c>
      <c r="BB60" s="36" t="n">
        <f aca="false">IF(SUM(AT60:AV60)=0,0,BA60/SUM(AT60:AV60))</f>
        <v>0.140415201566054</v>
      </c>
      <c r="BC60" s="39" t="n">
        <f aca="false">AY60+BA60</f>
        <v>10405.7612079432</v>
      </c>
      <c r="BD60" s="37" t="n">
        <f aca="false">SUM(AH60:AK60)*AZ60+SUM(AL60:AN60)*BB60</f>
        <v>0.915122271364829</v>
      </c>
      <c r="BE60" s="37" t="n">
        <f aca="false">MAX(0,SUM(AH60:AK60)*(1-AZ60)-Assumptions!$C$79)</f>
        <v>0</v>
      </c>
      <c r="BF60" s="39" t="n">
        <f aca="false">AP60*AZ60</f>
        <v>214.059472983797</v>
      </c>
      <c r="BG60" s="39" t="n">
        <f aca="false">AQ60*AZ60</f>
        <v>198.769510627811</v>
      </c>
      <c r="BH60" s="39" t="n">
        <f aca="false">AR60*AZ60</f>
        <v>1401.579882632</v>
      </c>
      <c r="BI60" s="39" t="n">
        <f aca="false">AS60*AZ60</f>
        <v>1608.54824757022</v>
      </c>
      <c r="BJ60" s="39" t="n">
        <f aca="false">AT60*BB60</f>
        <v>0</v>
      </c>
      <c r="BK60" s="39" t="n">
        <f aca="false">AU60*BB60</f>
        <v>5275.89642667553</v>
      </c>
      <c r="BL60" s="39" t="n">
        <f aca="false">AV60*BB60</f>
        <v>1706.90766745385</v>
      </c>
      <c r="BM60" s="39" t="n">
        <f aca="false">H60*(Assumptions!$C$68+Assumptions!$C$66)*Assumptions!$F$10</f>
        <v>875</v>
      </c>
      <c r="BN60" s="39" t="n">
        <f aca="false">K60*$C$19+L60*$D$19+M60*$E$19+N60*$F$19+O60*$G$19</f>
        <v>0</v>
      </c>
      <c r="BO60" s="39" t="n">
        <f aca="false">Assumptions!$C$99*W60</f>
        <v>548.28050519708</v>
      </c>
      <c r="BP60" s="39" t="n">
        <f aca="false">Assumptions!E$98/12+P60*Assumptions!$C$101/12</f>
        <v>1664.41666666667</v>
      </c>
      <c r="BQ60" s="39" t="n">
        <f aca="false">BD60*Assumptions!$C$102/12+Assumptions!$C$100</f>
        <v>328.780567841207</v>
      </c>
      <c r="BR60" s="39" t="n">
        <f aca="false">SUM(BF60:BQ60)</f>
        <v>13822.2389476482</v>
      </c>
      <c r="BS60" s="39" t="n">
        <f aca="false">W60-AD60-BR60</f>
        <v>4310.45805955723</v>
      </c>
      <c r="BT60" s="39" t="n">
        <f aca="false">MAX(0,BD60-BD59)*Assumptions!$C$103</f>
        <v>768.189190028187</v>
      </c>
      <c r="BU60" s="39" t="n">
        <f aca="false">0</f>
        <v>0</v>
      </c>
      <c r="BV60" s="39" t="n">
        <f aca="false">-(W60-W59)*12*Assumptions!$C$108</f>
        <v>-503.86400639856</v>
      </c>
      <c r="BW60" s="39" t="n">
        <f aca="false">0</f>
        <v>0</v>
      </c>
      <c r="BX60" s="39" t="n">
        <f aca="false">BS60-BT60+BU60+BV60+BW60</f>
        <v>3038.40486313048</v>
      </c>
      <c r="BY60" s="29" t="n">
        <f aca="false">BY59+BX60</f>
        <v>57306.9791750052</v>
      </c>
    </row>
    <row r="61" customFormat="false" ht="15" hidden="false" customHeight="false" outlineLevel="0" collapsed="false">
      <c r="A61" s="45" t="n">
        <v>31</v>
      </c>
      <c r="B61" s="45" t="n">
        <v>2029</v>
      </c>
      <c r="C61" s="45" t="n">
        <v>2</v>
      </c>
      <c r="D61" s="35" t="n">
        <f aca="false">ROUND(Assumptions!E$18*Assumptions!$F$7/12,0)</f>
        <v>250</v>
      </c>
      <c r="E61" s="35" t="n">
        <f aca="false">Rollout!$C$10-I60</f>
        <v>8292</v>
      </c>
      <c r="F61" s="39" t="n">
        <f aca="false">H61*$C$26+H60*$D$26+H59*$E$26+H58*$F$26+H57*$G$26+H56*$H$26+H55*$I$26+H54*$J$26+H53*$K$26+H52*$L$26+H51*$M$26+H50*$N$26</f>
        <v>5793.63988051377</v>
      </c>
      <c r="G61" s="39" t="n">
        <f aca="false">BY60-Assumptions!$C$110-F60-Assumptions!$C$111*(Assumptions!$C$100+Assumptions!E$98/12+BC60)</f>
        <v>7039.12701206034</v>
      </c>
      <c r="H61" s="35" t="n">
        <f aca="false">IF(BE60&gt;0,0,MAX(0,MIN(D61,E61,INT(G61/$C$27))))</f>
        <v>33</v>
      </c>
      <c r="I61" s="35" t="n">
        <f aca="false">I60+H61</f>
        <v>174</v>
      </c>
      <c r="J61" s="35" t="n">
        <f aca="false">SUM(H50:H61)</f>
        <v>141</v>
      </c>
      <c r="K61" s="35" t="n">
        <f aca="false">H61*$C$23+H60*$D$23+H59*$E$23+H58*$F$23+H57*$G$23+H56*$H$23+H55*$I$23+H54*$J$23+H53*$K$23+H52*$L$23+H51*$M$23+H50*$N$23</f>
        <v>81.2707</v>
      </c>
      <c r="L61" s="35" t="n">
        <f aca="false">SUM(H38:H49)</f>
        <v>19</v>
      </c>
      <c r="M61" s="35" t="n">
        <f aca="false">SUM(H31:H37)</f>
        <v>14</v>
      </c>
      <c r="N61" s="35" t="n">
        <f aca="false">0</f>
        <v>0</v>
      </c>
      <c r="O61" s="35" t="n">
        <f aca="false">0</f>
        <v>0</v>
      </c>
      <c r="P61" s="35" t="n">
        <f aca="false">J61*$C$6+L61*$D$6+M61*$E$6+N61*$F$6+O61*$G$6</f>
        <v>172.73</v>
      </c>
      <c r="Q61" s="39" t="n">
        <f aca="false">K61*$C$7+L61*$D$7+M61*$E$7+N61*$F$7+O61*$G$7</f>
        <v>9938.6029008</v>
      </c>
      <c r="R61" s="39" t="n">
        <f aca="false">K61*$C$8+L61*$D$8+M61*$E$8+N61*$F$8+O61*$G$8</f>
        <v>6605.437502976</v>
      </c>
      <c r="S61" s="39" t="n">
        <f aca="false">K61*$C$9+L61*$D$9+M61*$E$9+N61*$F$9+O61*$G$9</f>
        <v>2865.1392</v>
      </c>
      <c r="T61" s="39" t="n">
        <f aca="false">K61*$C$10+L61*$D$10+M61*$E$10+N61*$F$10+O61*$G$10</f>
        <v>4261.44575745</v>
      </c>
      <c r="U61" s="39" t="n">
        <f aca="false">K61*$C$11+L61*$D$11+M61*$E$11+N61*$F$11+O61*$G$11</f>
        <v>4264.2747</v>
      </c>
      <c r="V61" s="39" t="n">
        <f aca="false">K61*$C$12+L61*$D$12+M61*$E$12+N61*$F$12+O61*$G$12</f>
        <v>1549.77984</v>
      </c>
      <c r="W61" s="39" t="n">
        <f aca="false">SUM(Q61:V61)</f>
        <v>29484.679901226</v>
      </c>
      <c r="X61" s="39" t="n">
        <f aca="false">J61*$C$14+L61*$D$14+M61*$E$14+N61*$F$14+O61*$G$14</f>
        <v>5495.54889166667</v>
      </c>
      <c r="Y61" s="39" t="n">
        <f aca="false">J61*$C$15+L61*$D$15+M61*$E$15+N61*$F$15+O61*$G$15</f>
        <v>4318.25</v>
      </c>
      <c r="Z61" s="39" t="n">
        <f aca="false">K61*$C$16+L61*$D$16+M61*$E$16+N61*$F$16+O61*$G$16</f>
        <v>55.718689915</v>
      </c>
      <c r="AA61" s="39" t="n">
        <f aca="false">K61*$C$17+L61*$D$17+M61*$E$17+N61*$F$17+O61*$G$17</f>
        <v>786.444711424704</v>
      </c>
      <c r="AB61" s="39" t="n">
        <f aca="false">J61*$C$18+L61*$D$18+M61*$E$18+N61*$F$18+O61*$G$18</f>
        <v>52.8833333333333</v>
      </c>
      <c r="AC61" s="39" t="n">
        <f aca="false">H61*Assumptions!$C$67*Assumptions!$F$10</f>
        <v>495</v>
      </c>
      <c r="AD61" s="39" t="n">
        <f aca="false">SUM(X61:AC61)</f>
        <v>11203.8456263397</v>
      </c>
      <c r="AE61" s="35" t="n">
        <f aca="false">K61*$C$20+L61*$D$20+M61*$E$20+N61*$F$20+O61*$G$20</f>
        <v>22287.475966</v>
      </c>
      <c r="AF61" s="35" t="n">
        <f aca="false">K61*$C$21+L61*$D$21+M61*$E$21+N61*$F$21+O61*$G$21</f>
        <v>1278784.4244</v>
      </c>
      <c r="AG61" s="35" t="n">
        <f aca="false">K61*$C$22+L61*$D$22+M61*$E$22+N61*$F$22+O61*$G$22</f>
        <v>1051.165932384</v>
      </c>
      <c r="AH61" s="37" t="n">
        <f aca="false">P61/Assumptions!$C$76</f>
        <v>0.17273</v>
      </c>
      <c r="AI61" s="37" t="n">
        <f aca="false">P61/Assumptions!$C$77</f>
        <v>0.17273</v>
      </c>
      <c r="AJ61" s="37" t="n">
        <f aca="false">P61/Assumptions!$C$78</f>
        <v>1.43941666666667</v>
      </c>
      <c r="AK61" s="37" t="n">
        <f aca="false">H61/(Assumptions!$C$19/12)</f>
        <v>0.99</v>
      </c>
      <c r="AL61" s="37" t="n">
        <f aca="false">Assumptions!E$92</f>
        <v>0</v>
      </c>
      <c r="AM61" s="37" t="n">
        <f aca="false">Assumptions!E$93</f>
        <v>2</v>
      </c>
      <c r="AN61" s="37" t="n">
        <f aca="false">Assumptions!E$94</f>
        <v>1</v>
      </c>
      <c r="AO61" s="37" t="n">
        <f aca="false">SUM(AH61:AN61)</f>
        <v>5.77487666666667</v>
      </c>
      <c r="AP61" s="39" t="n">
        <f aca="false">AH61*Assumptions!$C$85*(1+Assumptions!$C$73)*(1+Assumptions!$C$74)^2/12</f>
        <v>1336.19249895833</v>
      </c>
      <c r="AQ61" s="39" t="n">
        <f aca="false">AI61*Assumptions!$C$86*(1+Assumptions!$C$73)*(1+Assumptions!$C$74)^2/12</f>
        <v>1240.75017760417</v>
      </c>
      <c r="AR61" s="39" t="n">
        <f aca="false">AJ61*Assumptions!$C$87*(1+Assumptions!$C$73)*(1+Assumptions!$C$74)^2/12</f>
        <v>8748.87945746528</v>
      </c>
      <c r="AS61" s="39" t="n">
        <f aca="false">AK61*Assumptions!$C$85*(1+Assumptions!$C$73)*(1+Assumptions!$C$74)^2/12</f>
        <v>7658.371875</v>
      </c>
      <c r="AT61" s="39" t="n">
        <f aca="false">AL61*Assumptions!$C$83*(1+Assumptions!$C$73)*(1+Assumptions!$C$74)^2/12</f>
        <v>0</v>
      </c>
      <c r="AU61" s="39" t="n">
        <f aca="false">AM61*Assumptions!$C$84*(1+Assumptions!$C$73)*(1+Assumptions!$C$74)^2/12</f>
        <v>37573.5416666667</v>
      </c>
      <c r="AV61" s="39" t="n">
        <f aca="false">AN61*Assumptions!$C$88*(1+Assumptions!$C$73)*(1+Assumptions!$C$74)^2/12</f>
        <v>12156.1458333333</v>
      </c>
      <c r="AW61" s="39" t="n">
        <f aca="false">SUM(AP61:AV61)</f>
        <v>68713.8815090278</v>
      </c>
      <c r="AX61" s="39" t="n">
        <f aca="false">MIN(Assumptions!$C$80*W60,MAX(0,BS60+BC60))</f>
        <v>10965.6101039416</v>
      </c>
      <c r="AY61" s="39" t="n">
        <f aca="false">IF(SUM(AH61:AK61)&lt;=0,0,MIN(AX61,SUM(AP61:AS61)*MAX(0,1-Assumptions!$C$79/SUM(AH61:AK61))))</f>
        <v>5301.28389120072</v>
      </c>
      <c r="AZ61" s="36" t="n">
        <f aca="false">IF(SUM(AP61:AS61)=0,0,AY61/SUM(AP61:AS61))</f>
        <v>0.279247245823538</v>
      </c>
      <c r="BA61" s="39" t="n">
        <f aca="false">MIN(AX61-AY61,SUM(AT61:AV61))</f>
        <v>5664.32621274088</v>
      </c>
      <c r="BB61" s="36" t="n">
        <f aca="false">IF(SUM(AT61:AV61)=0,0,BA61/SUM(AT61:AV61))</f>
        <v>0.113902308610744</v>
      </c>
      <c r="BC61" s="39" t="n">
        <f aca="false">AY61+BA61</f>
        <v>10965.6101039416</v>
      </c>
      <c r="BD61" s="37" t="n">
        <f aca="false">SUM(AH61:AK61)*AZ61+SUM(AL61:AN61)*BB61</f>
        <v>1.1165835924989</v>
      </c>
      <c r="BE61" s="37" t="n">
        <f aca="false">MAX(0,SUM(AH61:AK61)*(1-AZ61)-Assumptions!$C$79)</f>
        <v>0</v>
      </c>
      <c r="BF61" s="39" t="n">
        <f aca="false">AP61*AZ61</f>
        <v>373.128075224185</v>
      </c>
      <c r="BG61" s="39" t="n">
        <f aca="false">AQ61*AZ61</f>
        <v>346.476069851029</v>
      </c>
      <c r="BH61" s="39" t="n">
        <f aca="false">AR61*AZ61</f>
        <v>2443.10049253931</v>
      </c>
      <c r="BI61" s="39" t="n">
        <f aca="false">AS61*AZ61</f>
        <v>2138.57925358619</v>
      </c>
      <c r="BJ61" s="39" t="n">
        <f aca="false">AT61*BB61</f>
        <v>0</v>
      </c>
      <c r="BK61" s="39" t="n">
        <f aca="false">AU61*BB61</f>
        <v>4279.71313851533</v>
      </c>
      <c r="BL61" s="39" t="n">
        <f aca="false">AV61*BB61</f>
        <v>1384.61307422555</v>
      </c>
      <c r="BM61" s="39" t="n">
        <f aca="false">H61*(Assumptions!$C$68+Assumptions!$C$66)*Assumptions!$F$10</f>
        <v>825</v>
      </c>
      <c r="BN61" s="39" t="n">
        <f aca="false">K61*$C$19+L61*$D$19+M61*$E$19+N61*$F$19+O61*$G$19</f>
        <v>0</v>
      </c>
      <c r="BO61" s="39" t="n">
        <f aca="false">Assumptions!$C$99*W61</f>
        <v>589.69359802452</v>
      </c>
      <c r="BP61" s="39" t="n">
        <f aca="false">Assumptions!E$98/12+P61*Assumptions!$C$101/12</f>
        <v>1939.41666666667</v>
      </c>
      <c r="BQ61" s="39" t="n">
        <f aca="false">BD61*Assumptions!$C$102/12+Assumptions!$C$100</f>
        <v>379.145898124725</v>
      </c>
      <c r="BR61" s="39" t="n">
        <f aca="false">SUM(BF61:BQ61)</f>
        <v>14698.8662667575</v>
      </c>
      <c r="BS61" s="39" t="n">
        <f aca="false">W61-AD61-BR61</f>
        <v>3581.96800812879</v>
      </c>
      <c r="BT61" s="39" t="n">
        <f aca="false">MAX(0,BD61-BD60)*Assumptions!$C$103</f>
        <v>503.653302835178</v>
      </c>
      <c r="BU61" s="39" t="n">
        <f aca="false">0</f>
        <v>0</v>
      </c>
      <c r="BV61" s="39" t="n">
        <f aca="false">-(W61-W60)*12*Assumptions!$C$108</f>
        <v>-745.435670893921</v>
      </c>
      <c r="BW61" s="39" t="n">
        <f aca="false">0</f>
        <v>0</v>
      </c>
      <c r="BX61" s="39" t="n">
        <f aca="false">BS61-BT61+BU61+BV61+BW61</f>
        <v>2332.87903439969</v>
      </c>
      <c r="BY61" s="29" t="n">
        <f aca="false">BY60+BX61</f>
        <v>59639.8582094049</v>
      </c>
    </row>
    <row r="62" customFormat="false" ht="15" hidden="false" customHeight="false" outlineLevel="0" collapsed="false">
      <c r="A62" s="45" t="n">
        <v>32</v>
      </c>
      <c r="B62" s="45" t="n">
        <v>2029</v>
      </c>
      <c r="C62" s="45" t="n">
        <v>2</v>
      </c>
      <c r="D62" s="35" t="n">
        <f aca="false">ROUND(Assumptions!E$18*Assumptions!$F$7/12,0)</f>
        <v>250</v>
      </c>
      <c r="E62" s="35" t="n">
        <f aca="false">Rollout!$C$10-I61</f>
        <v>8259</v>
      </c>
      <c r="F62" s="39" t="n">
        <f aca="false">H62*$C$26+H61*$D$26+H60*$E$26+H59*$F$26+H58*$G$26+H57*$H$26+H56*$I$26+H55*$J$26+H54*$K$26+H53*$L$26+H52*$M$26+H51*$N$26</f>
        <v>5562.55176095752</v>
      </c>
      <c r="G62" s="39" t="n">
        <f aca="false">BY61-Assumptions!$C$110-F61-Assumptions!$C$111*(Assumptions!$C$100+Assumptions!E$98/12+BC61)</f>
        <v>6583.7779131247</v>
      </c>
      <c r="H62" s="35" t="n">
        <f aca="false">IF(BE61&gt;0,0,MAX(0,MIN(D62,E62,INT(G62/$C$27))))</f>
        <v>31</v>
      </c>
      <c r="I62" s="35" t="n">
        <f aca="false">I61+H62</f>
        <v>205</v>
      </c>
      <c r="J62" s="35" t="n">
        <f aca="false">SUM(H51:H62)</f>
        <v>172</v>
      </c>
      <c r="K62" s="35" t="n">
        <f aca="false">H62*$C$23+H61*$D$23+H60*$E$23+H59*$F$23+H58*$G$23+H57*$H$23+H56*$I$23+H55*$J$23+H54*$K$23+H53*$L$23+H52*$M$23+H51*$N$23</f>
        <v>106.9087</v>
      </c>
      <c r="L62" s="35" t="n">
        <f aca="false">SUM(H39:H50)</f>
        <v>19</v>
      </c>
      <c r="M62" s="35" t="n">
        <f aca="false">SUM(H31:H38)</f>
        <v>14</v>
      </c>
      <c r="N62" s="35" t="n">
        <f aca="false">0</f>
        <v>0</v>
      </c>
      <c r="O62" s="35" t="n">
        <f aca="false">0</f>
        <v>0</v>
      </c>
      <c r="P62" s="35" t="n">
        <f aca="false">J62*$C$6+L62*$D$6+M62*$E$6+N62*$F$6+O62*$G$6</f>
        <v>203.73</v>
      </c>
      <c r="Q62" s="39" t="n">
        <f aca="false">K62*$C$7+L62*$D$7+M62*$E$7+N62*$F$7+O62*$G$7</f>
        <v>11193.4291728</v>
      </c>
      <c r="R62" s="39" t="n">
        <f aca="false">K62*$C$8+L62*$D$8+M62*$E$8+N62*$F$8+O62*$G$8</f>
        <v>7282.477602816</v>
      </c>
      <c r="S62" s="39" t="n">
        <f aca="false">K62*$C$9+L62*$D$9+M62*$E$9+N62*$F$9+O62*$G$9</f>
        <v>2865.1392</v>
      </c>
      <c r="T62" s="39" t="n">
        <f aca="false">K62*$C$10+L62*$D$10+M62*$E$10+N62*$F$10+O62*$G$10</f>
        <v>4494.84129045</v>
      </c>
      <c r="U62" s="39" t="n">
        <f aca="false">K62*$C$11+L62*$D$11+M62*$E$11+N62*$F$11+O62*$G$11</f>
        <v>4802.6727</v>
      </c>
      <c r="V62" s="39" t="n">
        <f aca="false">K62*$C$12+L62*$D$12+M62*$E$12+N62*$F$12+O62*$G$12</f>
        <v>1549.77984</v>
      </c>
      <c r="W62" s="39" t="n">
        <f aca="false">SUM(Q62:V62)</f>
        <v>32188.339806066</v>
      </c>
      <c r="X62" s="39" t="n">
        <f aca="false">J62*$C$14+L62*$D$14+M62*$E$14+N62*$F$14+O62*$G$14</f>
        <v>6481.839725</v>
      </c>
      <c r="Y62" s="39" t="n">
        <f aca="false">J62*$C$15+L62*$D$15+M62*$E$15+N62*$F$15+O62*$G$15</f>
        <v>5093.25</v>
      </c>
      <c r="Z62" s="39" t="n">
        <f aca="false">K62*$C$16+L62*$D$16+M62*$E$16+N62*$F$16+O62*$G$16</f>
        <v>63.498541015</v>
      </c>
      <c r="AA62" s="39" t="n">
        <f aca="false">K62*$C$17+L62*$D$17+M62*$E$17+N62*$F$17+O62*$G$17</f>
        <v>879.980716976064</v>
      </c>
      <c r="AB62" s="39" t="n">
        <f aca="false">J62*$C$18+L62*$D$18+M62*$E$18+N62*$F$18+O62*$G$18</f>
        <v>52.8833333333333</v>
      </c>
      <c r="AC62" s="39" t="n">
        <f aca="false">H62*Assumptions!$C$67*Assumptions!$F$10</f>
        <v>465</v>
      </c>
      <c r="AD62" s="39" t="n">
        <f aca="false">SUM(X62:AC62)</f>
        <v>13036.4523163244</v>
      </c>
      <c r="AE62" s="35" t="n">
        <f aca="false">K62*$C$20+L62*$D$20+M62*$E$20+N62*$F$20+O62*$G$20</f>
        <v>25399.416406</v>
      </c>
      <c r="AF62" s="35" t="n">
        <f aca="false">K62*$C$21+L62*$D$21+M62*$E$21+N62*$F$21+O62*$G$21</f>
        <v>1486247.1204</v>
      </c>
      <c r="AG62" s="35" t="n">
        <f aca="false">K62*$C$22+L62*$D$22+M62*$E$22+N62*$F$22+O62*$G$22</f>
        <v>1176.205534944</v>
      </c>
      <c r="AH62" s="37" t="n">
        <f aca="false">P62/Assumptions!$C$76</f>
        <v>0.20373</v>
      </c>
      <c r="AI62" s="37" t="n">
        <f aca="false">P62/Assumptions!$C$77</f>
        <v>0.20373</v>
      </c>
      <c r="AJ62" s="37" t="n">
        <f aca="false">P62/Assumptions!$C$78</f>
        <v>1.69775</v>
      </c>
      <c r="AK62" s="37" t="n">
        <f aca="false">H62/(Assumptions!$C$19/12)</f>
        <v>0.93</v>
      </c>
      <c r="AL62" s="37" t="n">
        <f aca="false">Assumptions!E$92</f>
        <v>0</v>
      </c>
      <c r="AM62" s="37" t="n">
        <f aca="false">Assumptions!E$93</f>
        <v>2</v>
      </c>
      <c r="AN62" s="37" t="n">
        <f aca="false">Assumptions!E$94</f>
        <v>1</v>
      </c>
      <c r="AO62" s="37" t="n">
        <f aca="false">SUM(AH62:AN62)</f>
        <v>6.03521</v>
      </c>
      <c r="AP62" s="39" t="n">
        <f aca="false">AH62*Assumptions!$C$85*(1+Assumptions!$C$73)*(1+Assumptions!$C$74)^2/12</f>
        <v>1576.000103125</v>
      </c>
      <c r="AQ62" s="39" t="n">
        <f aca="false">AI62*Assumptions!$C$86*(1+Assumptions!$C$73)*(1+Assumptions!$C$74)^2/12</f>
        <v>1463.4286671875</v>
      </c>
      <c r="AR62" s="39" t="n">
        <f aca="false">AJ62*Assumptions!$C$87*(1+Assumptions!$C$73)*(1+Assumptions!$C$74)^2/12</f>
        <v>10319.0482942708</v>
      </c>
      <c r="AS62" s="39" t="n">
        <f aca="false">AK62*Assumptions!$C$85*(1+Assumptions!$C$73)*(1+Assumptions!$C$74)^2/12</f>
        <v>7194.228125</v>
      </c>
      <c r="AT62" s="39" t="n">
        <f aca="false">AL62*Assumptions!$C$83*(1+Assumptions!$C$73)*(1+Assumptions!$C$74)^2/12</f>
        <v>0</v>
      </c>
      <c r="AU62" s="39" t="n">
        <f aca="false">AM62*Assumptions!$C$84*(1+Assumptions!$C$73)*(1+Assumptions!$C$74)^2/12</f>
        <v>37573.5416666667</v>
      </c>
      <c r="AV62" s="39" t="n">
        <f aca="false">AN62*Assumptions!$C$88*(1+Assumptions!$C$73)*(1+Assumptions!$C$74)^2/12</f>
        <v>12156.1458333333</v>
      </c>
      <c r="AW62" s="39" t="n">
        <f aca="false">SUM(AP62:AV62)</f>
        <v>70282.3926895833</v>
      </c>
      <c r="AX62" s="39" t="n">
        <f aca="false">MIN(Assumptions!$C$80*W61,MAX(0,BS61+BC61))</f>
        <v>11793.8719604904</v>
      </c>
      <c r="AY62" s="39" t="n">
        <f aca="false">IF(SUM(AH62:AK62)&lt;=0,0,MIN(AX62,SUM(AP62:AS62)*MAX(0,1-Assumptions!$C$79/SUM(AH62:AK62))))</f>
        <v>7009.84971033588</v>
      </c>
      <c r="AZ62" s="36" t="n">
        <f aca="false">IF(SUM(AP62:AS62)=0,0,AY62/SUM(AP62:AS62))</f>
        <v>0.341067010190399</v>
      </c>
      <c r="BA62" s="39" t="n">
        <f aca="false">MIN(AX62-AY62,SUM(AT62:AV62))</f>
        <v>4784.02225015452</v>
      </c>
      <c r="BB62" s="36" t="n">
        <f aca="false">IF(SUM(AT62:AV62)=0,0,BA62/SUM(AT62:AV62))</f>
        <v>0.0962005291136109</v>
      </c>
      <c r="BC62" s="39" t="n">
        <f aca="false">AY62+BA62</f>
        <v>11793.8719604904</v>
      </c>
      <c r="BD62" s="37" t="n">
        <f aca="false">SUM(AH62:AK62)*AZ62+SUM(AL62:AN62)*BB62</f>
        <v>1.32381158734083</v>
      </c>
      <c r="BE62" s="37" t="n">
        <f aca="false">MAX(0,SUM(AH62:AK62)*(1-AZ62)-Assumptions!$C$79)</f>
        <v>0</v>
      </c>
      <c r="BF62" s="39" t="n">
        <f aca="false">AP62*AZ62</f>
        <v>537.521643232604</v>
      </c>
      <c r="BG62" s="39" t="n">
        <f aca="false">AQ62*AZ62</f>
        <v>499.127240144561</v>
      </c>
      <c r="BH62" s="39" t="n">
        <f aca="false">AR62*AZ62</f>
        <v>3519.48694973729</v>
      </c>
      <c r="BI62" s="39" t="n">
        <f aca="false">AS62*AZ62</f>
        <v>2453.71387722143</v>
      </c>
      <c r="BJ62" s="39" t="n">
        <f aca="false">AT62*BB62</f>
        <v>0</v>
      </c>
      <c r="BK62" s="39" t="n">
        <f aca="false">AU62*BB62</f>
        <v>3614.59458900564</v>
      </c>
      <c r="BL62" s="39" t="n">
        <f aca="false">AV62*BB62</f>
        <v>1169.42766114888</v>
      </c>
      <c r="BM62" s="39" t="n">
        <f aca="false">H62*(Assumptions!$C$68+Assumptions!$C$66)*Assumptions!$F$10</f>
        <v>775</v>
      </c>
      <c r="BN62" s="39" t="n">
        <f aca="false">K62*$C$19+L62*$D$19+M62*$E$19+N62*$F$19+O62*$G$19</f>
        <v>0</v>
      </c>
      <c r="BO62" s="39" t="n">
        <f aca="false">Assumptions!$C$99*W62</f>
        <v>643.76679612132</v>
      </c>
      <c r="BP62" s="39" t="n">
        <f aca="false">Assumptions!E$98/12+P62*Assumptions!$C$101/12</f>
        <v>2197.75</v>
      </c>
      <c r="BQ62" s="39" t="n">
        <f aca="false">BD62*Assumptions!$C$102/12+Assumptions!$C$100</f>
        <v>430.952896835208</v>
      </c>
      <c r="BR62" s="39" t="n">
        <f aca="false">SUM(BF62:BQ62)</f>
        <v>15841.3416534469</v>
      </c>
      <c r="BS62" s="39" t="n">
        <f aca="false">W62-AD62-BR62</f>
        <v>3310.54583629467</v>
      </c>
      <c r="BT62" s="39" t="n">
        <f aca="false">MAX(0,BD62-BD61)*Assumptions!$C$103</f>
        <v>518.069987104832</v>
      </c>
      <c r="BU62" s="39" t="n">
        <f aca="false">0</f>
        <v>0</v>
      </c>
      <c r="BV62" s="39" t="n">
        <f aca="false">-(W62-W61)*12*Assumptions!$C$108</f>
        <v>-973.317565742399</v>
      </c>
      <c r="BW62" s="39" t="n">
        <f aca="false">0</f>
        <v>0</v>
      </c>
      <c r="BX62" s="39" t="n">
        <f aca="false">BS62-BT62+BU62+BV62+BW62</f>
        <v>1819.15828344744</v>
      </c>
      <c r="BY62" s="29" t="n">
        <f aca="false">BY61+BX62</f>
        <v>61459.0164928523</v>
      </c>
    </row>
    <row r="63" customFormat="false" ht="15" hidden="false" customHeight="false" outlineLevel="0" collapsed="false">
      <c r="A63" s="45" t="n">
        <v>33</v>
      </c>
      <c r="B63" s="45" t="n">
        <v>2029</v>
      </c>
      <c r="C63" s="45" t="n">
        <v>2</v>
      </c>
      <c r="D63" s="35" t="n">
        <f aca="false">ROUND(Assumptions!E$18*Assumptions!$F$7/12,0)</f>
        <v>250</v>
      </c>
      <c r="E63" s="35" t="n">
        <f aca="false">Rollout!$C$10-I62</f>
        <v>8228</v>
      </c>
      <c r="F63" s="39" t="n">
        <f aca="false">H63*$C$26+H62*$D$26+H61*$E$26+H60*$F$26+H59*$G$26+H58*$H$26+H57*$I$26+H56*$J$26+H55*$K$26+H54*$L$26+H53*$M$26+H52*$N$26</f>
        <v>4792.96386321165</v>
      </c>
      <c r="G63" s="39" t="n">
        <f aca="false">BY62-Assumptions!$C$110-F62-Assumptions!$C$111*(Assumptions!$C$100+Assumptions!E$98/12+BC62)</f>
        <v>5320.97688993319</v>
      </c>
      <c r="H63" s="35" t="n">
        <f aca="false">IF(BE62&gt;0,0,MAX(0,MIN(D63,E63,INT(G63/$C$27))))</f>
        <v>25</v>
      </c>
      <c r="I63" s="35" t="n">
        <f aca="false">I62+H63</f>
        <v>230</v>
      </c>
      <c r="J63" s="35" t="n">
        <f aca="false">SUM(H52:H63)</f>
        <v>189</v>
      </c>
      <c r="K63" s="35" t="n">
        <f aca="false">H63*$C$23+H62*$D$23+H61*$E$23+H60*$F$23+H59*$G$23+H58*$H$23+H57*$I$23+H56*$J$23+H55*$K$23+H54*$L$23+H53*$M$23+H52*$N$23</f>
        <v>120.7282</v>
      </c>
      <c r="L63" s="35" t="n">
        <f aca="false">SUM(H40:H51)</f>
        <v>27</v>
      </c>
      <c r="M63" s="35" t="n">
        <f aca="false">SUM(H31:H39)</f>
        <v>14</v>
      </c>
      <c r="N63" s="35" t="n">
        <f aca="false">0</f>
        <v>0</v>
      </c>
      <c r="O63" s="35" t="n">
        <f aca="false">0</f>
        <v>0</v>
      </c>
      <c r="P63" s="35" t="n">
        <f aca="false">J63*$C$6+L63*$D$6+M63*$E$6+N63*$F$6+O63*$G$6</f>
        <v>228.49</v>
      </c>
      <c r="Q63" s="39" t="n">
        <f aca="false">K63*$C$7+L63*$D$7+M63*$E$7+N63*$F$7+O63*$G$7</f>
        <v>13009.2271008</v>
      </c>
      <c r="R63" s="39" t="n">
        <f aca="false">K63*$C$8+L63*$D$8+M63*$E$8+N63*$F$8+O63*$G$8</f>
        <v>8415.882024576</v>
      </c>
      <c r="S63" s="39" t="n">
        <f aca="false">K63*$C$9+L63*$D$9+M63*$E$9+N63*$F$9+O63*$G$9</f>
        <v>3295.3536</v>
      </c>
      <c r="T63" s="39" t="n">
        <f aca="false">K63*$C$10+L63*$D$10+M63*$E$10+N63*$F$10+O63*$G$10</f>
        <v>5185.7923887</v>
      </c>
      <c r="U63" s="39" t="n">
        <f aca="false">K63*$C$11+L63*$D$11+M63*$E$11+N63*$F$11+O63*$G$11</f>
        <v>5581.7622</v>
      </c>
      <c r="V63" s="39" t="n">
        <f aca="false">K63*$C$12+L63*$D$12+M63*$E$12+N63*$F$12+O63*$G$12</f>
        <v>1549.77984</v>
      </c>
      <c r="W63" s="39" t="n">
        <f aca="false">SUM(Q63:V63)</f>
        <v>37037.797154076</v>
      </c>
      <c r="X63" s="39" t="n">
        <f aca="false">J63*$C$14+L63*$D$14+M63*$E$14+N63*$F$14+O63*$G$14</f>
        <v>7269.59975833333</v>
      </c>
      <c r="Y63" s="39" t="n">
        <f aca="false">J63*$C$15+L63*$D$15+M63*$E$15+N63*$F$15+O63*$G$15</f>
        <v>5712.25</v>
      </c>
      <c r="Z63" s="39" t="n">
        <f aca="false">K63*$C$16+L63*$D$16+M63*$E$16+N63*$F$16+O63*$G$16</f>
        <v>73.97146029</v>
      </c>
      <c r="AA63" s="39" t="n">
        <f aca="false">K63*$C$17+L63*$D$17+M63*$E$17+N63*$F$17+O63*$G$17</f>
        <v>1020.9714506711</v>
      </c>
      <c r="AB63" s="39" t="n">
        <f aca="false">J63*$C$18+L63*$D$18+M63*$E$18+N63*$F$18+O63*$G$18</f>
        <v>65.8166666666667</v>
      </c>
      <c r="AC63" s="39" t="n">
        <f aca="false">H63*Assumptions!$C$67*Assumptions!$F$10</f>
        <v>375</v>
      </c>
      <c r="AD63" s="39" t="n">
        <f aca="false">SUM(X63:AC63)</f>
        <v>14517.6093359611</v>
      </c>
      <c r="AE63" s="35" t="n">
        <f aca="false">K63*$C$20+L63*$D$20+M63*$E$20+N63*$F$20+O63*$G$20</f>
        <v>29588.584116</v>
      </c>
      <c r="AF63" s="35" t="n">
        <f aca="false">K63*$C$21+L63*$D$21+M63*$E$21+N63*$F$21+O63*$G$21</f>
        <v>1723662.3544</v>
      </c>
      <c r="AG63" s="35" t="n">
        <f aca="false">K63*$C$22+L63*$D$22+M63*$E$22+N63*$F$22+O63*$G$22</f>
        <v>1365.430686784</v>
      </c>
      <c r="AH63" s="37" t="n">
        <f aca="false">P63/Assumptions!$C$76</f>
        <v>0.22849</v>
      </c>
      <c r="AI63" s="37" t="n">
        <f aca="false">P63/Assumptions!$C$77</f>
        <v>0.22849</v>
      </c>
      <c r="AJ63" s="37" t="n">
        <f aca="false">P63/Assumptions!$C$78</f>
        <v>1.90408333333333</v>
      </c>
      <c r="AK63" s="37" t="n">
        <f aca="false">H63/(Assumptions!$C$19/12)</f>
        <v>0.75</v>
      </c>
      <c r="AL63" s="37" t="n">
        <f aca="false">Assumptions!E$92</f>
        <v>0</v>
      </c>
      <c r="AM63" s="37" t="n">
        <f aca="false">Assumptions!E$93</f>
        <v>2</v>
      </c>
      <c r="AN63" s="37" t="n">
        <f aca="false">Assumptions!E$94</f>
        <v>1</v>
      </c>
      <c r="AO63" s="37" t="n">
        <f aca="false">SUM(AH63:AN63)</f>
        <v>6.11106333333333</v>
      </c>
      <c r="AP63" s="39" t="n">
        <f aca="false">AH63*Assumptions!$C$85*(1+Assumptions!$C$73)*(1+Assumptions!$C$74)^2/12</f>
        <v>1767.53675729167</v>
      </c>
      <c r="AQ63" s="39" t="n">
        <f aca="false">AI63*Assumptions!$C$86*(1+Assumptions!$C$73)*(1+Assumptions!$C$74)^2/12</f>
        <v>1641.28413177083</v>
      </c>
      <c r="AR63" s="39" t="n">
        <f aca="false">AJ63*Assumptions!$C$87*(1+Assumptions!$C$73)*(1+Assumptions!$C$74)^2/12</f>
        <v>11573.1573394097</v>
      </c>
      <c r="AS63" s="39" t="n">
        <f aca="false">AK63*Assumptions!$C$85*(1+Assumptions!$C$73)*(1+Assumptions!$C$74)^2/12</f>
        <v>5801.796875</v>
      </c>
      <c r="AT63" s="39" t="n">
        <f aca="false">AL63*Assumptions!$C$83*(1+Assumptions!$C$73)*(1+Assumptions!$C$74)^2/12</f>
        <v>0</v>
      </c>
      <c r="AU63" s="39" t="n">
        <f aca="false">AM63*Assumptions!$C$84*(1+Assumptions!$C$73)*(1+Assumptions!$C$74)^2/12</f>
        <v>37573.5416666667</v>
      </c>
      <c r="AV63" s="39" t="n">
        <f aca="false">AN63*Assumptions!$C$88*(1+Assumptions!$C$73)*(1+Assumptions!$C$74)^2/12</f>
        <v>12156.1458333333</v>
      </c>
      <c r="AW63" s="39" t="n">
        <f aca="false">SUM(AP63:AV63)</f>
        <v>70513.4626034722</v>
      </c>
      <c r="AX63" s="39" t="n">
        <f aca="false">MIN(Assumptions!$C$80*W62,MAX(0,BS62+BC62))</f>
        <v>12875.3359224264</v>
      </c>
      <c r="AY63" s="39" t="n">
        <f aca="false">IF(SUM(AH63:AK63)&lt;=0,0,MIN(AX63,SUM(AP63:AS63)*MAX(0,1-Assumptions!$C$79/SUM(AH63:AK63))))</f>
        <v>7422.57163275821</v>
      </c>
      <c r="AZ63" s="36" t="n">
        <f aca="false">IF(SUM(AP63:AS63)=0,0,AY63/SUM(AP63:AS63))</f>
        <v>0.357132984542263</v>
      </c>
      <c r="BA63" s="39" t="n">
        <f aca="false">MIN(AX63-AY63,SUM(AT63:AV63))</f>
        <v>5452.76428966819</v>
      </c>
      <c r="BB63" s="36" t="n">
        <f aca="false">IF(SUM(AT63:AV63)=0,0,BA63/SUM(AT63:AV63))</f>
        <v>0.109648070675453</v>
      </c>
      <c r="BC63" s="39" t="n">
        <f aca="false">AY63+BA63</f>
        <v>12875.3359224264</v>
      </c>
      <c r="BD63" s="37" t="n">
        <f aca="false">SUM(AH63:AK63)*AZ63+SUM(AL63:AN63)*BB63</f>
        <v>1.44000754535969</v>
      </c>
      <c r="BE63" s="37" t="n">
        <f aca="false">MAX(0,SUM(AH63:AK63)*(1-AZ63)-Assumptions!$C$79)</f>
        <v>0</v>
      </c>
      <c r="BF63" s="39" t="n">
        <f aca="false">AP63*AZ63</f>
        <v>631.245677419726</v>
      </c>
      <c r="BG63" s="39" t="n">
        <f aca="false">AQ63*AZ63</f>
        <v>586.156700461174</v>
      </c>
      <c r="BH63" s="39" t="n">
        <f aca="false">AR63*AZ63</f>
        <v>4133.15622120059</v>
      </c>
      <c r="BI63" s="39" t="n">
        <f aca="false">AS63*AZ63</f>
        <v>2072.01303367672</v>
      </c>
      <c r="BJ63" s="39" t="n">
        <f aca="false">AT63*BB63</f>
        <v>0</v>
      </c>
      <c r="BK63" s="39" t="n">
        <f aca="false">AU63*BB63</f>
        <v>4119.86635219375</v>
      </c>
      <c r="BL63" s="39" t="n">
        <f aca="false">AV63*BB63</f>
        <v>1332.89793747445</v>
      </c>
      <c r="BM63" s="39" t="n">
        <f aca="false">H63*(Assumptions!$C$68+Assumptions!$C$66)*Assumptions!$F$10</f>
        <v>625</v>
      </c>
      <c r="BN63" s="39" t="n">
        <f aca="false">K63*$C$19+L63*$D$19+M63*$E$19+N63*$F$19+O63*$G$19</f>
        <v>0</v>
      </c>
      <c r="BO63" s="39" t="n">
        <f aca="false">Assumptions!$C$99*W63</f>
        <v>740.75594308152</v>
      </c>
      <c r="BP63" s="39" t="n">
        <f aca="false">Assumptions!E$98/12+P63*Assumptions!$C$101/12</f>
        <v>2404.08333333333</v>
      </c>
      <c r="BQ63" s="39" t="n">
        <f aca="false">BD63*Assumptions!$C$102/12+Assumptions!$C$100</f>
        <v>460.001886339923</v>
      </c>
      <c r="BR63" s="39" t="n">
        <f aca="false">SUM(BF63:BQ63)</f>
        <v>17105.1770851812</v>
      </c>
      <c r="BS63" s="39" t="n">
        <f aca="false">W63-AD63-BR63</f>
        <v>5415.01073293372</v>
      </c>
      <c r="BT63" s="39" t="n">
        <f aca="false">MAX(0,BD63-BD62)*Assumptions!$C$103</f>
        <v>290.489895047149</v>
      </c>
      <c r="BU63" s="39" t="n">
        <f aca="false">0</f>
        <v>0</v>
      </c>
      <c r="BV63" s="39" t="n">
        <f aca="false">-(W63-W62)*12*Assumptions!$C$108</f>
        <v>-1745.8046452836</v>
      </c>
      <c r="BW63" s="39" t="n">
        <f aca="false">0</f>
        <v>0</v>
      </c>
      <c r="BX63" s="39" t="n">
        <f aca="false">BS63-BT63+BU63+BV63+BW63</f>
        <v>3378.71619260297</v>
      </c>
      <c r="BY63" s="29" t="n">
        <f aca="false">BY62+BX63</f>
        <v>64837.7326854553</v>
      </c>
    </row>
    <row r="64" customFormat="false" ht="15" hidden="false" customHeight="false" outlineLevel="0" collapsed="false">
      <c r="A64" s="45" t="n">
        <v>34</v>
      </c>
      <c r="B64" s="45" t="n">
        <v>2029</v>
      </c>
      <c r="C64" s="45" t="n">
        <v>2</v>
      </c>
      <c r="D64" s="35" t="n">
        <f aca="false">ROUND(Assumptions!E$18*Assumptions!$F$7/12,0)</f>
        <v>250</v>
      </c>
      <c r="E64" s="35" t="n">
        <f aca="false">Rollout!$C$10-I63</f>
        <v>8203</v>
      </c>
      <c r="F64" s="39" t="n">
        <f aca="false">H64*$C$26+H63*$D$26+H62*$E$26+H61*$F$26+H60*$G$26+H59*$H$26+H58*$I$26+H57*$J$26+H56*$K$26+H55*$L$26+H54*$M$26+H53*$N$26</f>
        <v>4343.19341990483</v>
      </c>
      <c r="G64" s="39" t="n">
        <f aca="false">BY63-Assumptions!$C$110-F63-Assumptions!$C$111*(Assumptions!$C$100+Assumptions!E$98/12+BC63)</f>
        <v>5143.42513253804</v>
      </c>
      <c r="H64" s="35" t="n">
        <f aca="false">IF(BE63&gt;0,0,MAX(0,MIN(D64,E64,INT(G64/$C$27))))</f>
        <v>24</v>
      </c>
      <c r="I64" s="35" t="n">
        <f aca="false">I63+H64</f>
        <v>254</v>
      </c>
      <c r="J64" s="35" t="n">
        <f aca="false">SUM(H53:H64)</f>
        <v>203</v>
      </c>
      <c r="K64" s="35" t="n">
        <f aca="false">H64*$C$23+H63*$D$23+H62*$E$23+H61*$F$23+H60*$G$23+H59*$H$23+H58*$I$23+H57*$J$23+H56*$K$23+H55*$L$23+H54*$M$23+H53*$N$23</f>
        <v>133.2742</v>
      </c>
      <c r="L64" s="35" t="n">
        <f aca="false">SUM(H41:H52)</f>
        <v>34</v>
      </c>
      <c r="M64" s="35" t="n">
        <f aca="false">SUM(H31:H40)</f>
        <v>17</v>
      </c>
      <c r="N64" s="35" t="n">
        <f aca="false">0</f>
        <v>0</v>
      </c>
      <c r="O64" s="35" t="n">
        <f aca="false">0</f>
        <v>0</v>
      </c>
      <c r="P64" s="35" t="n">
        <f aca="false">J64*$C$6+L64*$D$6+M64*$E$6+N64*$F$6+O64*$G$6</f>
        <v>252.13</v>
      </c>
      <c r="Q64" s="39" t="n">
        <f aca="false">K64*$C$7+L64*$D$7+M64*$E$7+N64*$F$7+O64*$G$7</f>
        <v>15317.7198048</v>
      </c>
      <c r="R64" s="39" t="n">
        <f aca="false">K64*$C$8+L64*$D$8+M64*$E$8+N64*$F$8+O64*$G$8</f>
        <v>9984.062489856</v>
      </c>
      <c r="S64" s="39" t="n">
        <f aca="false">K64*$C$9+L64*$D$9+M64*$E$9+N64*$F$9+O64*$G$9</f>
        <v>4066.8012</v>
      </c>
      <c r="T64" s="39" t="n">
        <f aca="false">K64*$C$10+L64*$D$10+M64*$E$10+N64*$F$10+O64*$G$10</f>
        <v>6261.5165697</v>
      </c>
      <c r="U64" s="39" t="n">
        <f aca="false">K64*$C$11+L64*$D$11+M64*$E$11+N64*$F$11+O64*$G$11</f>
        <v>6572.2482</v>
      </c>
      <c r="V64" s="39" t="n">
        <f aca="false">K64*$C$12+L64*$D$12+M64*$E$12+N64*$F$12+O64*$G$12</f>
        <v>1881.87552</v>
      </c>
      <c r="W64" s="39" t="n">
        <f aca="false">SUM(Q64:V64)</f>
        <v>44084.223784356</v>
      </c>
      <c r="X64" s="39" t="n">
        <f aca="false">J64*$C$14+L64*$D$14+M64*$E$14+N64*$F$14+O64*$G$14</f>
        <v>8021.72605833333</v>
      </c>
      <c r="Y64" s="39" t="n">
        <f aca="false">J64*$C$15+L64*$D$15+M64*$E$15+N64*$F$15+O64*$G$15</f>
        <v>6303.25</v>
      </c>
      <c r="Z64" s="39" t="n">
        <f aca="false">K64*$C$16+L64*$D$16+M64*$E$16+N64*$F$16+O64*$G$16</f>
        <v>86.73234199</v>
      </c>
      <c r="AA64" s="39" t="n">
        <f aca="false">K64*$C$17+L64*$D$17+M64*$E$17+N64*$F$17+O64*$G$17</f>
        <v>1204.88705923622</v>
      </c>
      <c r="AB64" s="39" t="n">
        <f aca="false">J64*$C$18+L64*$D$18+M64*$E$18+N64*$F$18+O64*$G$18</f>
        <v>81.8833333333333</v>
      </c>
      <c r="AC64" s="39" t="n">
        <f aca="false">H64*Assumptions!$C$67*Assumptions!$F$10</f>
        <v>360</v>
      </c>
      <c r="AD64" s="39" t="n">
        <f aca="false">SUM(X64:AC64)</f>
        <v>16058.4787928929</v>
      </c>
      <c r="AE64" s="35" t="n">
        <f aca="false">K64*$C$20+L64*$D$20+M64*$E$20+N64*$F$20+O64*$G$20</f>
        <v>34692.936796</v>
      </c>
      <c r="AF64" s="35" t="n">
        <f aca="false">K64*$C$21+L64*$D$21+M64*$E$21+N64*$F$21+O64*$G$21</f>
        <v>2004260.5464</v>
      </c>
      <c r="AG64" s="35" t="n">
        <f aca="false">K64*$C$22+L64*$D$22+M64*$E$22+N64*$F$22+O64*$G$22</f>
        <v>1611.530042304</v>
      </c>
      <c r="AH64" s="37" t="n">
        <f aca="false">P64/Assumptions!$C$76</f>
        <v>0.25213</v>
      </c>
      <c r="AI64" s="37" t="n">
        <f aca="false">P64/Assumptions!$C$77</f>
        <v>0.25213</v>
      </c>
      <c r="AJ64" s="37" t="n">
        <f aca="false">P64/Assumptions!$C$78</f>
        <v>2.10108333333333</v>
      </c>
      <c r="AK64" s="37" t="n">
        <f aca="false">H64/(Assumptions!$C$19/12)</f>
        <v>0.72</v>
      </c>
      <c r="AL64" s="37" t="n">
        <f aca="false">Assumptions!E$92</f>
        <v>0</v>
      </c>
      <c r="AM64" s="37" t="n">
        <f aca="false">Assumptions!E$93</f>
        <v>2</v>
      </c>
      <c r="AN64" s="37" t="n">
        <f aca="false">Assumptions!E$94</f>
        <v>1</v>
      </c>
      <c r="AO64" s="37" t="n">
        <f aca="false">SUM(AH64:AN64)</f>
        <v>6.32534333333333</v>
      </c>
      <c r="AP64" s="39" t="n">
        <f aca="false">AH64*Assumptions!$C$85*(1+Assumptions!$C$73)*(1+Assumptions!$C$74)^2/12</f>
        <v>1950.40939479167</v>
      </c>
      <c r="AQ64" s="39" t="n">
        <f aca="false">AI64*Assumptions!$C$86*(1+Assumptions!$C$73)*(1+Assumptions!$C$74)^2/12</f>
        <v>1811.09443802083</v>
      </c>
      <c r="AR64" s="39" t="n">
        <f aca="false">AJ64*Assumptions!$C$87*(1+Assumptions!$C$73)*(1+Assumptions!$C$74)^2/12</f>
        <v>12770.5377039931</v>
      </c>
      <c r="AS64" s="39" t="n">
        <f aca="false">AK64*Assumptions!$C$85*(1+Assumptions!$C$73)*(1+Assumptions!$C$74)^2/12</f>
        <v>5569.725</v>
      </c>
      <c r="AT64" s="39" t="n">
        <f aca="false">AL64*Assumptions!$C$83*(1+Assumptions!$C$73)*(1+Assumptions!$C$74)^2/12</f>
        <v>0</v>
      </c>
      <c r="AU64" s="39" t="n">
        <f aca="false">AM64*Assumptions!$C$84*(1+Assumptions!$C$73)*(1+Assumptions!$C$74)^2/12</f>
        <v>37573.5416666667</v>
      </c>
      <c r="AV64" s="39" t="n">
        <f aca="false">AN64*Assumptions!$C$88*(1+Assumptions!$C$73)*(1+Assumptions!$C$74)^2/12</f>
        <v>12156.1458333333</v>
      </c>
      <c r="AW64" s="39" t="n">
        <f aca="false">SUM(AP64:AV64)</f>
        <v>71831.4540368056</v>
      </c>
      <c r="AX64" s="39" t="n">
        <f aca="false">MIN(Assumptions!$C$80*W63,MAX(0,BS63+BC63))</f>
        <v>14815.1188616304</v>
      </c>
      <c r="AY64" s="39" t="n">
        <f aca="false">IF(SUM(AH64:AK64)&lt;=0,0,MIN(AX64,SUM(AP64:AS64)*MAX(0,1-Assumptions!$C$79/SUM(AH64:AK64))))</f>
        <v>8808.84347815063</v>
      </c>
      <c r="AZ64" s="36" t="n">
        <f aca="false">IF(SUM(AP64:AS64)=0,0,AY64/SUM(AP64:AS64))</f>
        <v>0.39855834435141</v>
      </c>
      <c r="BA64" s="39" t="n">
        <f aca="false">MIN(AX64-AY64,SUM(AT64:AV64))</f>
        <v>6006.27538347978</v>
      </c>
      <c r="BB64" s="36" t="n">
        <f aca="false">IF(SUM(AT64:AV64)=0,0,BA64/SUM(AT64:AV64))</f>
        <v>0.120778466252775</v>
      </c>
      <c r="BC64" s="39" t="n">
        <f aca="false">AY64+BA64</f>
        <v>14815.1188616304</v>
      </c>
      <c r="BD64" s="37" t="n">
        <f aca="false">SUM(AH64:AK64)*AZ64+SUM(AL64:AN64)*BB64</f>
        <v>1.68767873209166</v>
      </c>
      <c r="BE64" s="37" t="n">
        <f aca="false">MAX(0,SUM(AH64:AK64)*(1-AZ64)-Assumptions!$C$79)</f>
        <v>0</v>
      </c>
      <c r="BF64" s="39" t="n">
        <f aca="false">AP64*AZ64</f>
        <v>777.351939195603</v>
      </c>
      <c r="BG64" s="39" t="n">
        <f aca="false">AQ64*AZ64</f>
        <v>721.826800681631</v>
      </c>
      <c r="BH64" s="39" t="n">
        <f aca="false">AR64*AZ64</f>
        <v>5089.80436378073</v>
      </c>
      <c r="BI64" s="39" t="n">
        <f aca="false">AS64*AZ64</f>
        <v>2219.86037449266</v>
      </c>
      <c r="BJ64" s="39" t="n">
        <f aca="false">AT64*BB64</f>
        <v>0</v>
      </c>
      <c r="BK64" s="39" t="n">
        <f aca="false">AU64*BB64</f>
        <v>4538.07473418472</v>
      </c>
      <c r="BL64" s="39" t="n">
        <f aca="false">AV64*BB64</f>
        <v>1468.20064929506</v>
      </c>
      <c r="BM64" s="39" t="n">
        <f aca="false">H64*(Assumptions!$C$68+Assumptions!$C$66)*Assumptions!$F$10</f>
        <v>600</v>
      </c>
      <c r="BN64" s="39" t="n">
        <f aca="false">K64*$C$19+L64*$D$19+M64*$E$19+N64*$F$19+O64*$G$19</f>
        <v>0</v>
      </c>
      <c r="BO64" s="39" t="n">
        <f aca="false">Assumptions!$C$99*W64</f>
        <v>881.68447568712</v>
      </c>
      <c r="BP64" s="39" t="n">
        <f aca="false">Assumptions!E$98/12+P64*Assumptions!$C$101/12</f>
        <v>2601.08333333333</v>
      </c>
      <c r="BQ64" s="39" t="n">
        <f aca="false">BD64*Assumptions!$C$102/12+Assumptions!$C$100</f>
        <v>521.919683022914</v>
      </c>
      <c r="BR64" s="39" t="n">
        <f aca="false">SUM(BF64:BQ64)</f>
        <v>19419.8063536738</v>
      </c>
      <c r="BS64" s="39" t="n">
        <f aca="false">W64-AD64-BR64</f>
        <v>8605.93863778934</v>
      </c>
      <c r="BT64" s="39" t="n">
        <f aca="false">MAX(0,BD64-BD63)*Assumptions!$C$103</f>
        <v>619.177966829912</v>
      </c>
      <c r="BU64" s="39" t="n">
        <f aca="false">0</f>
        <v>0</v>
      </c>
      <c r="BV64" s="39" t="n">
        <f aca="false">-(W64-W63)*12*Assumptions!$C$108</f>
        <v>-2536.7135869008</v>
      </c>
      <c r="BW64" s="39" t="n">
        <f aca="false">0</f>
        <v>0</v>
      </c>
      <c r="BX64" s="39" t="n">
        <f aca="false">BS64-BT64+BU64+BV64+BW64</f>
        <v>5450.04708405863</v>
      </c>
      <c r="BY64" s="29" t="n">
        <f aca="false">BY63+BX64</f>
        <v>70287.7797695139</v>
      </c>
    </row>
    <row r="65" customFormat="false" ht="15" hidden="false" customHeight="false" outlineLevel="0" collapsed="false">
      <c r="A65" s="45" t="n">
        <v>35</v>
      </c>
      <c r="B65" s="45" t="n">
        <v>2029</v>
      </c>
      <c r="C65" s="45" t="n">
        <v>2</v>
      </c>
      <c r="D65" s="35" t="n">
        <f aca="false">ROUND(Assumptions!E$18*Assumptions!$F$7/12,0)</f>
        <v>250</v>
      </c>
      <c r="E65" s="35" t="n">
        <f aca="false">Rollout!$C$10-I64</f>
        <v>8179</v>
      </c>
      <c r="F65" s="39" t="n">
        <f aca="false">H65*$C$26+H64*$D$26+H63*$E$26+H62*$F$26+H61*$G$26+H60*$H$26+H59*$I$26+H58*$J$26+H57*$K$26+H56*$L$26+H55*$M$26+H54*$N$26</f>
        <v>3242.41560726447</v>
      </c>
      <c r="G65" s="39" t="n">
        <f aca="false">BY64-Assumptions!$C$110-F64-Assumptions!$C$111*(Assumptions!$C$100+Assumptions!E$98/12+BC64)</f>
        <v>3284.11090308747</v>
      </c>
      <c r="H65" s="35" t="n">
        <f aca="false">IF(BE64&gt;0,0,MAX(0,MIN(D65,E65,INT(G65/$C$27))))</f>
        <v>15</v>
      </c>
      <c r="I65" s="35" t="n">
        <f aca="false">I64+H65</f>
        <v>269</v>
      </c>
      <c r="J65" s="35" t="n">
        <f aca="false">SUM(H54:H65)</f>
        <v>206</v>
      </c>
      <c r="K65" s="35" t="n">
        <f aca="false">H65*$C$23+H64*$D$23+H63*$E$23+H62*$F$23+H61*$G$23+H60*$H$23+H59*$I$23+H58*$J$23+H57*$K$23+H56*$L$23+H55*$M$23+H54*$N$23</f>
        <v>144.0011</v>
      </c>
      <c r="L65" s="35" t="n">
        <f aca="false">SUM(H42:H53)</f>
        <v>42</v>
      </c>
      <c r="M65" s="35" t="n">
        <f aca="false">SUM(H31:H41)</f>
        <v>21</v>
      </c>
      <c r="N65" s="35" t="n">
        <f aca="false">0</f>
        <v>0</v>
      </c>
      <c r="O65" s="35" t="n">
        <f aca="false">0</f>
        <v>0</v>
      </c>
      <c r="P65" s="35" t="n">
        <f aca="false">J65*$C$6+L65*$D$6+M65*$E$6+N65*$F$6+O65*$G$6</f>
        <v>266.69</v>
      </c>
      <c r="Q65" s="39" t="n">
        <f aca="false">K65*$C$7+L65*$D$7+M65*$E$7+N65*$F$7+O65*$G$7</f>
        <v>17912.0895184</v>
      </c>
      <c r="R65" s="39" t="n">
        <f aca="false">K65*$C$8+L65*$D$8+M65*$E$8+N65*$F$8+O65*$G$8</f>
        <v>11788.417400448</v>
      </c>
      <c r="S65" s="39" t="n">
        <f aca="false">K65*$C$9+L65*$D$9+M65*$E$9+N65*$F$9+O65*$G$9</f>
        <v>5023.6956</v>
      </c>
      <c r="T65" s="39" t="n">
        <f aca="false">K65*$C$10+L65*$D$10+M65*$E$10+N65*$F$10+O65*$G$10</f>
        <v>7546.99358385</v>
      </c>
      <c r="U65" s="39" t="n">
        <f aca="false">K65*$C$11+L65*$D$11+M65*$E$11+N65*$F$11+O65*$G$11</f>
        <v>7685.3931</v>
      </c>
      <c r="V65" s="39" t="n">
        <f aca="false">K65*$C$12+L65*$D$12+M65*$E$12+N65*$F$12+O65*$G$12</f>
        <v>2324.66976</v>
      </c>
      <c r="W65" s="39" t="n">
        <f aca="false">SUM(Q65:V65)</f>
        <v>52281.258962698</v>
      </c>
      <c r="X65" s="39" t="n">
        <f aca="false">J65*$C$14+L65*$D$14+M65*$E$14+N65*$F$14+O65*$G$14</f>
        <v>8484.96459166667</v>
      </c>
      <c r="Y65" s="39" t="n">
        <f aca="false">J65*$C$15+L65*$D$15+M65*$E$15+N65*$F$15+O65*$G$15</f>
        <v>6667.25</v>
      </c>
      <c r="Z65" s="39" t="n">
        <f aca="false">K65*$C$16+L65*$D$16+M65*$E$16+N65*$F$16+O65*$G$16</f>
        <v>100.879251795</v>
      </c>
      <c r="AA65" s="39" t="n">
        <f aca="false">K65*$C$17+L65*$D$17+M65*$E$17+N65*$F$17+O65*$G$17</f>
        <v>1413.11842049619</v>
      </c>
      <c r="AB65" s="39" t="n">
        <f aca="false">J65*$C$18+L65*$D$18+M65*$E$18+N65*$F$18+O65*$G$18</f>
        <v>101.15</v>
      </c>
      <c r="AC65" s="39" t="n">
        <f aca="false">H65*Assumptions!$C$67*Assumptions!$F$10</f>
        <v>225</v>
      </c>
      <c r="AD65" s="39" t="n">
        <f aca="false">SUM(X65:AC65)</f>
        <v>16992.3622639579</v>
      </c>
      <c r="AE65" s="35" t="n">
        <f aca="false">K65*$C$20+L65*$D$20+M65*$E$20+N65*$F$20+O65*$G$20</f>
        <v>40351.700718</v>
      </c>
      <c r="AF65" s="35" t="n">
        <f aca="false">K65*$C$21+L65*$D$21+M65*$E$21+N65*$F$21+O65*$G$21</f>
        <v>2308899.2612</v>
      </c>
      <c r="AG65" s="35" t="n">
        <f aca="false">K65*$C$22+L65*$D$22+M65*$E$22+N65*$F$22+O65*$G$22</f>
        <v>1890.090132832</v>
      </c>
      <c r="AH65" s="37" t="n">
        <f aca="false">P65/Assumptions!$C$76</f>
        <v>0.26669</v>
      </c>
      <c r="AI65" s="37" t="n">
        <f aca="false">P65/Assumptions!$C$77</f>
        <v>0.26669</v>
      </c>
      <c r="AJ65" s="37" t="n">
        <f aca="false">P65/Assumptions!$C$78</f>
        <v>2.22241666666667</v>
      </c>
      <c r="AK65" s="37" t="n">
        <f aca="false">H65/(Assumptions!$C$19/12)</f>
        <v>0.45</v>
      </c>
      <c r="AL65" s="37" t="n">
        <f aca="false">Assumptions!E$92</f>
        <v>0</v>
      </c>
      <c r="AM65" s="37" t="n">
        <f aca="false">Assumptions!E$93</f>
        <v>2</v>
      </c>
      <c r="AN65" s="37" t="n">
        <f aca="false">Assumptions!E$94</f>
        <v>1</v>
      </c>
      <c r="AO65" s="37" t="n">
        <f aca="false">SUM(AH65:AN65)</f>
        <v>6.20579666666667</v>
      </c>
      <c r="AP65" s="39" t="n">
        <f aca="false">AH65*Assumptions!$C$85*(1+Assumptions!$C$73)*(1+Assumptions!$C$74)^2/12</f>
        <v>2063.04161145833</v>
      </c>
      <c r="AQ65" s="39" t="n">
        <f aca="false">AI65*Assumptions!$C$86*(1+Assumptions!$C$73)*(1+Assumptions!$C$74)^2/12</f>
        <v>1915.68149635417</v>
      </c>
      <c r="AR65" s="39" t="n">
        <f aca="false">AJ65*Assumptions!$C$87*(1+Assumptions!$C$73)*(1+Assumptions!$C$74)^2/12</f>
        <v>13508.0105512153</v>
      </c>
      <c r="AS65" s="39" t="n">
        <f aca="false">AK65*Assumptions!$C$85*(1+Assumptions!$C$73)*(1+Assumptions!$C$74)^2/12</f>
        <v>3481.078125</v>
      </c>
      <c r="AT65" s="39" t="n">
        <f aca="false">AL65*Assumptions!$C$83*(1+Assumptions!$C$73)*(1+Assumptions!$C$74)^2/12</f>
        <v>0</v>
      </c>
      <c r="AU65" s="39" t="n">
        <f aca="false">AM65*Assumptions!$C$84*(1+Assumptions!$C$73)*(1+Assumptions!$C$74)^2/12</f>
        <v>37573.5416666667</v>
      </c>
      <c r="AV65" s="39" t="n">
        <f aca="false">AN65*Assumptions!$C$88*(1+Assumptions!$C$73)*(1+Assumptions!$C$74)^2/12</f>
        <v>12156.1458333333</v>
      </c>
      <c r="AW65" s="39" t="n">
        <f aca="false">SUM(AP65:AV65)</f>
        <v>70697.4992840278</v>
      </c>
      <c r="AX65" s="39" t="n">
        <f aca="false">MIN(Assumptions!$C$80*W64,MAX(0,BS64+BC64))</f>
        <v>17633.6895137424</v>
      </c>
      <c r="AY65" s="39" t="n">
        <f aca="false">IF(SUM(AH65:AK65)&lt;=0,0,MIN(AX65,SUM(AP65:AS65)*MAX(0,1-Assumptions!$C$79/SUM(AH65:AK65))))</f>
        <v>7886.62544301773</v>
      </c>
      <c r="AZ65" s="36" t="n">
        <f aca="false">IF(SUM(AP65:AS65)=0,0,AY65/SUM(AP65:AS65))</f>
        <v>0.376130114303361</v>
      </c>
      <c r="BA65" s="39" t="n">
        <f aca="false">MIN(AX65-AY65,SUM(AT65:AV65))</f>
        <v>9747.06407072467</v>
      </c>
      <c r="BB65" s="36" t="n">
        <f aca="false">IF(SUM(AT65:AV65)=0,0,BA65/SUM(AT65:AV65))</f>
        <v>0.196000911341433</v>
      </c>
      <c r="BC65" s="39" t="n">
        <f aca="false">AY65+BA65</f>
        <v>17633.6895137424</v>
      </c>
      <c r="BD65" s="37" t="n">
        <f aca="false">SUM(AH65:AK65)*AZ65+SUM(AL65:AN65)*BB65</f>
        <v>1.79379940069097</v>
      </c>
      <c r="BE65" s="37" t="n">
        <f aca="false">MAX(0,SUM(AH65:AK65)*(1-AZ65)-Assumptions!$C$79)</f>
        <v>0</v>
      </c>
      <c r="BF65" s="39" t="n">
        <f aca="false">AP65*AZ65</f>
        <v>775.972077130413</v>
      </c>
      <c r="BG65" s="39" t="n">
        <f aca="false">AQ65*AZ65</f>
        <v>720.545500192526</v>
      </c>
      <c r="BH65" s="39" t="n">
        <f aca="false">AR65*AZ65</f>
        <v>5080.76955263961</v>
      </c>
      <c r="BI65" s="39" t="n">
        <f aca="false">AS65*AZ65</f>
        <v>1309.33831305518</v>
      </c>
      <c r="BJ65" s="39" t="n">
        <f aca="false">AT65*BB65</f>
        <v>0</v>
      </c>
      <c r="BK65" s="39" t="n">
        <f aca="false">AU65*BB65</f>
        <v>7364.44840899197</v>
      </c>
      <c r="BL65" s="39" t="n">
        <f aca="false">AV65*BB65</f>
        <v>2382.6156617327</v>
      </c>
      <c r="BM65" s="39" t="n">
        <f aca="false">H65*(Assumptions!$C$68+Assumptions!$C$66)*Assumptions!$F$10</f>
        <v>375</v>
      </c>
      <c r="BN65" s="39" t="n">
        <f aca="false">K65*$C$19+L65*$D$19+M65*$E$19+N65*$F$19+O65*$G$19</f>
        <v>0</v>
      </c>
      <c r="BO65" s="39" t="n">
        <f aca="false">Assumptions!$C$99*W65</f>
        <v>1045.62517925396</v>
      </c>
      <c r="BP65" s="39" t="n">
        <f aca="false">Assumptions!E$98/12+P65*Assumptions!$C$101/12</f>
        <v>2722.41666666667</v>
      </c>
      <c r="BQ65" s="39" t="n">
        <f aca="false">BD65*Assumptions!$C$102/12+Assumptions!$C$100</f>
        <v>548.449850172742</v>
      </c>
      <c r="BR65" s="39" t="n">
        <f aca="false">SUM(BF65:BQ65)</f>
        <v>22325.1812098358</v>
      </c>
      <c r="BS65" s="39" t="n">
        <f aca="false">W65-AD65-BR65</f>
        <v>12963.7154889044</v>
      </c>
      <c r="BT65" s="39" t="n">
        <f aca="false">MAX(0,BD65-BD64)*Assumptions!$C$103</f>
        <v>265.301671498273</v>
      </c>
      <c r="BU65" s="39" t="n">
        <f aca="false">0</f>
        <v>0</v>
      </c>
      <c r="BV65" s="39" t="n">
        <f aca="false">-(W65-W64)*12*Assumptions!$C$108</f>
        <v>-2950.93266420312</v>
      </c>
      <c r="BW65" s="39" t="n">
        <f aca="false">0</f>
        <v>0</v>
      </c>
      <c r="BX65" s="39" t="n">
        <f aca="false">BS65-BT65+BU65+BV65+BW65</f>
        <v>9747.48115320297</v>
      </c>
      <c r="BY65" s="29" t="n">
        <f aca="false">BY64+BX65</f>
        <v>80035.2609227169</v>
      </c>
    </row>
    <row r="66" customFormat="false" ht="15" hidden="false" customHeight="false" outlineLevel="0" collapsed="false">
      <c r="A66" s="45" t="n">
        <v>36</v>
      </c>
      <c r="B66" s="45" t="n">
        <v>2029</v>
      </c>
      <c r="C66" s="45" t="n">
        <v>2</v>
      </c>
      <c r="D66" s="35" t="n">
        <f aca="false">ROUND(Assumptions!E$18*Assumptions!$F$7/12,0)</f>
        <v>250</v>
      </c>
      <c r="E66" s="35" t="n">
        <f aca="false">Rollout!$C$10-I65</f>
        <v>8164</v>
      </c>
      <c r="F66" s="39" t="n">
        <f aca="false">H66*$C$26+H65*$D$26+H64*$E$26+H63*$F$26+H62*$G$26+H61*$H$26+H60*$I$26+H59*$J$26+H58*$K$26+H57*$L$26+H56*$M$26+H55*$N$26</f>
        <v>2548.41595823262</v>
      </c>
      <c r="G66" s="39" t="n">
        <f aca="false">BY65-Assumptions!$C$110-F65-Assumptions!$C$111*(Assumptions!$C$100+Assumptions!E$98/12+BC65)</f>
        <v>2858.08726048282</v>
      </c>
      <c r="H66" s="35" t="n">
        <f aca="false">IF(BE65&gt;0,0,MAX(0,MIN(D66,E66,INT(G66/$C$27))))</f>
        <v>13</v>
      </c>
      <c r="I66" s="35" t="n">
        <f aca="false">I65+H66</f>
        <v>282</v>
      </c>
      <c r="J66" s="35" t="n">
        <f aca="false">SUM(H55:H66)</f>
        <v>211</v>
      </c>
      <c r="K66" s="35" t="n">
        <f aca="false">H66*$C$23+H65*$D$23+H64*$E$23+H63*$F$23+H62*$G$23+H61*$H$23+H60*$I$23+H59*$J$23+H58*$K$23+H57*$L$23+H56*$M$23+H55*$N$23</f>
        <v>164</v>
      </c>
      <c r="L66" s="35" t="n">
        <f aca="false">SUM(H43:H54)</f>
        <v>43</v>
      </c>
      <c r="M66" s="35" t="n">
        <f aca="false">SUM(H31:H42)</f>
        <v>28</v>
      </c>
      <c r="N66" s="35" t="n">
        <f aca="false">0</f>
        <v>0</v>
      </c>
      <c r="O66" s="35" t="n">
        <f aca="false">0</f>
        <v>0</v>
      </c>
      <c r="P66" s="35" t="n">
        <f aca="false">J66*$C$6+L66*$D$6+M66*$E$6+N66*$F$6+O66*$G$6</f>
        <v>279.31</v>
      </c>
      <c r="Q66" s="39" t="n">
        <f aca="false">K66*$C$7+L66*$D$7+M66*$E$7+N66*$F$7+O66*$G$7</f>
        <v>20660.73072</v>
      </c>
      <c r="R66" s="39" t="n">
        <f aca="false">K66*$C$8+L66*$D$8+M66*$E$8+N66*$F$8+O66*$G$8</f>
        <v>13729.682928</v>
      </c>
      <c r="S66" s="39" t="n">
        <f aca="false">K66*$C$9+L66*$D$9+M66*$E$9+N66*$F$9+O66*$G$9</f>
        <v>5999.1624</v>
      </c>
      <c r="T66" s="39" t="n">
        <f aca="false">K66*$C$10+L66*$D$10+M66*$E$10+N66*$F$10+O66*$G$10</f>
        <v>8889.38568</v>
      </c>
      <c r="U66" s="39" t="n">
        <f aca="false">K66*$C$11+L66*$D$11+M66*$E$11+N66*$F$11+O66*$G$11</f>
        <v>8864.73</v>
      </c>
      <c r="V66" s="39" t="n">
        <f aca="false">K66*$C$12+L66*$D$12+M66*$E$12+N66*$F$12+O66*$G$12</f>
        <v>3099.55968</v>
      </c>
      <c r="W66" s="39" t="n">
        <f aca="false">SUM(Q66:V66)</f>
        <v>61243.251408</v>
      </c>
      <c r="X66" s="39" t="n">
        <f aca="false">J66*$C$14+L66*$D$14+M66*$E$14+N66*$F$14+O66*$G$14</f>
        <v>8886.48040833333</v>
      </c>
      <c r="Y66" s="39" t="n">
        <f aca="false">J66*$C$15+L66*$D$15+M66*$E$15+N66*$F$15+O66*$G$15</f>
        <v>6982.75</v>
      </c>
      <c r="Z66" s="39" t="n">
        <f aca="false">K66*$C$16+L66*$D$16+M66*$E$16+N66*$F$16+O66*$G$16</f>
        <v>115.804612</v>
      </c>
      <c r="AA66" s="39" t="n">
        <f aca="false">K66*$C$17+L66*$D$17+M66*$E$17+N66*$F$17+O66*$G$17</f>
        <v>1634.818741392</v>
      </c>
      <c r="AB66" s="39" t="n">
        <f aca="false">J66*$C$18+L66*$D$18+M66*$E$18+N66*$F$18+O66*$G$18</f>
        <v>113.85</v>
      </c>
      <c r="AC66" s="39" t="n">
        <f aca="false">H66*Assumptions!$C$67*Assumptions!$F$10</f>
        <v>195</v>
      </c>
      <c r="AD66" s="39" t="n">
        <f aca="false">SUM(X66:AC66)</f>
        <v>17928.7037617253</v>
      </c>
      <c r="AE66" s="35" t="n">
        <f aca="false">K66*$C$20+L66*$D$20+M66*$E$20+N66*$F$20+O66*$G$20</f>
        <v>46321.8448</v>
      </c>
      <c r="AF66" s="35" t="n">
        <f aca="false">K66*$C$21+L66*$D$21+M66*$E$21+N66*$F$21+O66*$G$21</f>
        <v>2647864.24</v>
      </c>
      <c r="AG66" s="35" t="n">
        <f aca="false">K66*$C$22+L66*$D$22+M66*$E$22+N66*$F$22+O66*$G$22</f>
        <v>2185.586752</v>
      </c>
      <c r="AH66" s="37" t="n">
        <f aca="false">P66/Assumptions!$C$76</f>
        <v>0.27931</v>
      </c>
      <c r="AI66" s="37" t="n">
        <f aca="false">P66/Assumptions!$C$77</f>
        <v>0.27931</v>
      </c>
      <c r="AJ66" s="37" t="n">
        <f aca="false">P66/Assumptions!$C$78</f>
        <v>2.32758333333333</v>
      </c>
      <c r="AK66" s="37" t="n">
        <f aca="false">H66/(Assumptions!$C$19/12)</f>
        <v>0.39</v>
      </c>
      <c r="AL66" s="37" t="n">
        <f aca="false">Assumptions!E$92</f>
        <v>0</v>
      </c>
      <c r="AM66" s="37" t="n">
        <f aca="false">Assumptions!E$93</f>
        <v>2</v>
      </c>
      <c r="AN66" s="37" t="n">
        <f aca="false">Assumptions!E$94</f>
        <v>1</v>
      </c>
      <c r="AO66" s="37" t="n">
        <f aca="false">SUM(AH66:AN66)</f>
        <v>6.27620333333333</v>
      </c>
      <c r="AP66" s="39" t="n">
        <f aca="false">AH66*Assumptions!$C$85*(1+Assumptions!$C$73)*(1+Assumptions!$C$74)^2/12</f>
        <v>2160.66651354167</v>
      </c>
      <c r="AQ66" s="39" t="n">
        <f aca="false">AI66*Assumptions!$C$86*(1+Assumptions!$C$73)*(1+Assumptions!$C$74)^2/12</f>
        <v>2006.33319114583</v>
      </c>
      <c r="AR66" s="39" t="n">
        <f aca="false">AJ66*Assumptions!$C$87*(1+Assumptions!$C$73)*(1+Assumptions!$C$74)^2/12</f>
        <v>14147.2212196181</v>
      </c>
      <c r="AS66" s="39" t="n">
        <f aca="false">AK66*Assumptions!$C$85*(1+Assumptions!$C$73)*(1+Assumptions!$C$74)^2/12</f>
        <v>3016.934375</v>
      </c>
      <c r="AT66" s="39" t="n">
        <f aca="false">AL66*Assumptions!$C$83*(1+Assumptions!$C$73)*(1+Assumptions!$C$74)^2/12</f>
        <v>0</v>
      </c>
      <c r="AU66" s="39" t="n">
        <f aca="false">AM66*Assumptions!$C$84*(1+Assumptions!$C$73)*(1+Assumptions!$C$74)^2/12</f>
        <v>37573.5416666667</v>
      </c>
      <c r="AV66" s="39" t="n">
        <f aca="false">AN66*Assumptions!$C$88*(1+Assumptions!$C$73)*(1+Assumptions!$C$74)^2/12</f>
        <v>12156.1458333333</v>
      </c>
      <c r="AW66" s="39" t="n">
        <f aca="false">SUM(AP66:AV66)</f>
        <v>71060.8427993056</v>
      </c>
      <c r="AX66" s="39" t="n">
        <f aca="false">MIN(Assumptions!$C$80*W65,MAX(0,BS65+BC65))</f>
        <v>20912.5035850792</v>
      </c>
      <c r="AY66" s="39" t="n">
        <f aca="false">IF(SUM(AH66:AK66)&lt;=0,0,MIN(AX66,SUM(AP66:AS66)*MAX(0,1-Assumptions!$C$79/SUM(AH66:AK66))))</f>
        <v>8309.28020243699</v>
      </c>
      <c r="AZ66" s="36" t="n">
        <f aca="false">IF(SUM(AP66:AS66)=0,0,AY66/SUM(AP66:AS66))</f>
        <v>0.389537279432188</v>
      </c>
      <c r="BA66" s="39" t="n">
        <f aca="false">MIN(AX66-AY66,SUM(AT66:AV66))</f>
        <v>12603.2233826422</v>
      </c>
      <c r="BB66" s="36" t="n">
        <f aca="false">IF(SUM(AT66:AV66)=0,0,BA66/SUM(AT66:AV66))</f>
        <v>0.253434598450718</v>
      </c>
      <c r="BC66" s="39" t="n">
        <f aca="false">AY66+BA66</f>
        <v>20912.5035850792</v>
      </c>
      <c r="BD66" s="37" t="n">
        <f aca="false">SUM(AH66:AK66)*AZ66+SUM(AL66:AN66)*BB66</f>
        <v>2.03650712868549</v>
      </c>
      <c r="BE66" s="37" t="n">
        <f aca="false">MAX(0,SUM(AH66:AK66)*(1-AZ66)-Assumptions!$C$79)</f>
        <v>0</v>
      </c>
      <c r="BF66" s="39" t="n">
        <f aca="false">AP66*AZ66</f>
        <v>841.660155445252</v>
      </c>
      <c r="BG66" s="39" t="n">
        <f aca="false">AQ66*AZ66</f>
        <v>781.541572913449</v>
      </c>
      <c r="BH66" s="39" t="n">
        <f aca="false">AR66*AZ66</f>
        <v>5510.87006541534</v>
      </c>
      <c r="BI66" s="39" t="n">
        <f aca="false">AS66*AZ66</f>
        <v>1175.20840866295</v>
      </c>
      <c r="BJ66" s="39" t="n">
        <f aca="false">AT66*BB66</f>
        <v>0</v>
      </c>
      <c r="BK66" s="39" t="n">
        <f aca="false">AU66*BB66</f>
        <v>9522.435444663</v>
      </c>
      <c r="BL66" s="39" t="n">
        <f aca="false">AV66*BB66</f>
        <v>3080.78793797921</v>
      </c>
      <c r="BM66" s="39" t="n">
        <f aca="false">H66*(Assumptions!$C$68+Assumptions!$C$66)*Assumptions!$F$10</f>
        <v>325</v>
      </c>
      <c r="BN66" s="39" t="n">
        <f aca="false">K66*$C$19+L66*$D$19+M66*$E$19+N66*$F$19+O66*$G$19</f>
        <v>0</v>
      </c>
      <c r="BO66" s="39" t="n">
        <f aca="false">Assumptions!$C$99*W66</f>
        <v>1224.86502816</v>
      </c>
      <c r="BP66" s="39" t="n">
        <f aca="false">Assumptions!E$98/12+P66*Assumptions!$C$101/12</f>
        <v>2827.58333333333</v>
      </c>
      <c r="BQ66" s="39" t="n">
        <f aca="false">BD66*Assumptions!$C$102/12+Assumptions!$C$100</f>
        <v>609.126782171372</v>
      </c>
      <c r="BR66" s="39" t="n">
        <f aca="false">SUM(BF66:BQ66)</f>
        <v>25899.0787287439</v>
      </c>
      <c r="BS66" s="39" t="n">
        <f aca="false">W66-AD66-BR66</f>
        <v>17415.4689175308</v>
      </c>
      <c r="BT66" s="39" t="n">
        <f aca="false">MAX(0,BD66-BD65)*Assumptions!$C$103</f>
        <v>606.769319986306</v>
      </c>
      <c r="BU66" s="39" t="n">
        <f aca="false">0</f>
        <v>0</v>
      </c>
      <c r="BV66" s="39" t="n">
        <f aca="false">-(W66-W65)*12*Assumptions!$C$108</f>
        <v>-3226.31728030872</v>
      </c>
      <c r="BW66" s="39" t="n">
        <f aca="false">0</f>
        <v>0</v>
      </c>
      <c r="BX66" s="39" t="n">
        <f aca="false">BS66-BT66+BU66+BV66+BW66</f>
        <v>13582.3823172357</v>
      </c>
      <c r="BY66" s="29" t="n">
        <f aca="false">BY65+BX66</f>
        <v>93617.6432399526</v>
      </c>
    </row>
    <row r="67" customFormat="false" ht="15" hidden="false" customHeight="false" outlineLevel="0" collapsed="false">
      <c r="A67" s="45" t="n">
        <v>37</v>
      </c>
      <c r="B67" s="45" t="n">
        <v>2030</v>
      </c>
      <c r="C67" s="45" t="n">
        <v>3</v>
      </c>
      <c r="D67" s="35" t="n">
        <f aca="false">ROUND(Assumptions!F$18*Assumptions!$F$7/12,0)</f>
        <v>250</v>
      </c>
      <c r="E67" s="35" t="n">
        <f aca="false">Rollout!$C$10-I66</f>
        <v>8151</v>
      </c>
      <c r="F67" s="39" t="n">
        <f aca="false">H67*$C$26+H66*$D$26+H65*$E$26+H64*$F$26+H63*$G$26+H62*$H$26+H61*$I$26+H60*$J$26+H59*$K$26+H58*$L$26+H57*$M$26+H56*$N$26</f>
        <v>1872.88868832182</v>
      </c>
      <c r="G67" s="39" t="n">
        <f aca="false">BY66-Assumptions!$C$110-F66-Assumptions!$C$111*(Assumptions!$C$100+Assumptions!F$98/12+BC66)</f>
        <v>2019.21294140318</v>
      </c>
      <c r="H67" s="35" t="n">
        <f aca="false">IF(BE66&gt;0,0,MAX(0,MIN(D67,E67,INT(G67/$C$27))))</f>
        <v>9</v>
      </c>
      <c r="I67" s="35" t="n">
        <f aca="false">I66+H67</f>
        <v>291</v>
      </c>
      <c r="J67" s="35" t="n">
        <f aca="false">SUM(H56:H67)</f>
        <v>215</v>
      </c>
      <c r="K67" s="35" t="n">
        <f aca="false">H67*$C$23+H66*$D$23+H65*$E$23+H64*$F$23+H63*$G$23+H62*$H$23+H61*$I$23+H60*$J$23+H59*$K$23+H58*$L$23+H57*$M$23+H56*$N$23</f>
        <v>191.4532</v>
      </c>
      <c r="L67" s="35" t="n">
        <f aca="false">SUM(H44:H55)</f>
        <v>43</v>
      </c>
      <c r="M67" s="35" t="n">
        <f aca="false">SUM(H32:H43)</f>
        <v>19</v>
      </c>
      <c r="N67" s="35" t="n">
        <f aca="false">SUM(H31:H31)</f>
        <v>14</v>
      </c>
      <c r="O67" s="35" t="n">
        <f aca="false">0</f>
        <v>0</v>
      </c>
      <c r="P67" s="35" t="n">
        <f aca="false">J67*$C$6+L67*$D$6+M67*$E$6+N67*$F$6+O67*$G$6</f>
        <v>287.92</v>
      </c>
      <c r="Q67" s="39" t="n">
        <f aca="false">K67*$C$7+L67*$D$7+M67*$E$7+N67*$F$7+O67*$G$7</f>
        <v>24034.3035968</v>
      </c>
      <c r="R67" s="39" t="n">
        <f aca="false">K67*$C$8+L67*$D$8+M67*$E$8+N67*$F$8+O67*$G$8</f>
        <v>16453.719624576</v>
      </c>
      <c r="S67" s="39" t="n">
        <f aca="false">K67*$C$9+L67*$D$9+M67*$E$9+N67*$F$9+O67*$G$9</f>
        <v>7732.494</v>
      </c>
      <c r="T67" s="39" t="n">
        <f aca="false">K67*$C$10+L67*$D$10+M67*$E$10+N67*$F$10+O67*$G$10</f>
        <v>11032.8338862</v>
      </c>
      <c r="U67" s="39" t="n">
        <f aca="false">K67*$C$11+L67*$D$11+M67*$E$11+N67*$F$11+O67*$G$11</f>
        <v>10201.6572</v>
      </c>
      <c r="V67" s="39" t="n">
        <f aca="false">K67*$C$12+L67*$D$12+M67*$E$12+N67*$F$12+O67*$G$12</f>
        <v>3892.316736</v>
      </c>
      <c r="W67" s="39" t="n">
        <f aca="false">SUM(Q67:V67)</f>
        <v>73347.325043576</v>
      </c>
      <c r="X67" s="39" t="n">
        <f aca="false">J67*$C$14+L67*$D$14+M67*$E$14+N67*$F$14+O67*$G$14</f>
        <v>9160.41473333334</v>
      </c>
      <c r="Y67" s="39" t="n">
        <f aca="false">J67*$C$15+L67*$D$15+M67*$E$15+N67*$F$15+O67*$G$15</f>
        <v>7198</v>
      </c>
      <c r="Z67" s="39" t="n">
        <f aca="false">K67*$C$16+L67*$D$16+M67*$E$16+N67*$F$16+O67*$G$16</f>
        <v>133.72430554</v>
      </c>
      <c r="AA67" s="39" t="n">
        <f aca="false">K67*$C$17+L67*$D$17+M67*$E$17+N67*$F$17+O67*$G$17</f>
        <v>1919.4518194551</v>
      </c>
      <c r="AB67" s="39" t="n">
        <f aca="false">J67*$C$18+L67*$D$18+M67*$E$18+N67*$F$18+O67*$G$18</f>
        <v>121.533333333333</v>
      </c>
      <c r="AC67" s="39" t="n">
        <f aca="false">H67*Assumptions!$C$67*Assumptions!$F$10</f>
        <v>135</v>
      </c>
      <c r="AD67" s="39" t="n">
        <f aca="false">SUM(X67:AC67)</f>
        <v>18668.1241916618</v>
      </c>
      <c r="AE67" s="35" t="n">
        <f aca="false">K67*$C$20+L67*$D$20+M67*$E$20+N67*$F$20+O67*$G$20</f>
        <v>53489.722216</v>
      </c>
      <c r="AF67" s="35" t="n">
        <f aca="false">K67*$C$21+L67*$D$21+M67*$E$21+N67*$F$21+O67*$G$21</f>
        <v>3035173.2544</v>
      </c>
      <c r="AG67" s="35" t="n">
        <f aca="false">K67*$C$22+L67*$D$22+M67*$E$22+N67*$F$22+O67*$G$22</f>
        <v>2562.436486784</v>
      </c>
      <c r="AH67" s="37" t="n">
        <f aca="false">P67/Assumptions!$C$76</f>
        <v>0.28792</v>
      </c>
      <c r="AI67" s="37" t="n">
        <f aca="false">P67/Assumptions!$C$77</f>
        <v>0.28792</v>
      </c>
      <c r="AJ67" s="37" t="n">
        <f aca="false">P67/Assumptions!$C$78</f>
        <v>2.39933333333333</v>
      </c>
      <c r="AK67" s="37" t="n">
        <f aca="false">H67/(Assumptions!$C$19/12)</f>
        <v>0.27</v>
      </c>
      <c r="AL67" s="37" t="n">
        <f aca="false">Assumptions!F$92</f>
        <v>1</v>
      </c>
      <c r="AM67" s="37" t="n">
        <f aca="false">Assumptions!F$93</f>
        <v>4</v>
      </c>
      <c r="AN67" s="37" t="n">
        <f aca="false">Assumptions!F$94</f>
        <v>1</v>
      </c>
      <c r="AO67" s="37" t="n">
        <f aca="false">SUM(AH67:AN67)</f>
        <v>9.24517333333333</v>
      </c>
      <c r="AP67" s="39" t="n">
        <f aca="false">AH67*Assumptions!$C$85*(1+Assumptions!$C$73)*(1+Assumptions!$C$74)^3/12</f>
        <v>2294.08927591667</v>
      </c>
      <c r="AQ67" s="39" t="n">
        <f aca="false">AI67*Assumptions!$C$86*(1+Assumptions!$C$73)*(1+Assumptions!$C$74)^3/12</f>
        <v>2130.22575620833</v>
      </c>
      <c r="AR67" s="39" t="n">
        <f aca="false">AJ67*Assumptions!$C$87*(1+Assumptions!$C$73)*(1+Assumptions!$C$74)^3/12</f>
        <v>15020.8226399306</v>
      </c>
      <c r="AS67" s="39" t="n">
        <f aca="false">AK67*Assumptions!$C$85*(1+Assumptions!$C$73)*(1+Assumptions!$C$74)^3/12</f>
        <v>2151.30628125</v>
      </c>
      <c r="AT67" s="39" t="n">
        <f aca="false">AL67*Assumptions!$C$83*(1+Assumptions!$C$73)*(1+Assumptions!$C$74)^3/12</f>
        <v>18212.1166666667</v>
      </c>
      <c r="AU67" s="39" t="n">
        <f aca="false">AM67*Assumptions!$C$84*(1+Assumptions!$C$73)*(1+Assumptions!$C$74)^3/12</f>
        <v>77401.4958333333</v>
      </c>
      <c r="AV67" s="39" t="n">
        <f aca="false">AN67*Assumptions!$C$88*(1+Assumptions!$C$73)*(1+Assumptions!$C$74)^3/12</f>
        <v>12520.8302083333</v>
      </c>
      <c r="AW67" s="39" t="n">
        <f aca="false">SUM(AP67:AV67)</f>
        <v>129730.886661639</v>
      </c>
      <c r="AX67" s="39" t="n">
        <f aca="false">MIN(Assumptions!$C$80*W66,MAX(0,BS66+BC66))</f>
        <v>24497.3005632</v>
      </c>
      <c r="AY67" s="39" t="n">
        <f aca="false">IF(SUM(AH67:AK67)&lt;=0,0,MIN(AX67,SUM(AP67:AS67)*MAX(0,1-Assumptions!$C$79/SUM(AH67:AK67))))</f>
        <v>8286.55770995817</v>
      </c>
      <c r="AZ67" s="36" t="n">
        <f aca="false">IF(SUM(AP67:AS67)=0,0,AY67/SUM(AP67:AS67))</f>
        <v>0.38370010025145</v>
      </c>
      <c r="BA67" s="39" t="n">
        <f aca="false">MIN(AX67-AY67,SUM(AT67:AV67))</f>
        <v>16210.7428532418</v>
      </c>
      <c r="BB67" s="36" t="n">
        <f aca="false">IF(SUM(AT67:AV67)=0,0,BA67/SUM(AT67:AV67))</f>
        <v>0.149912853363164</v>
      </c>
      <c r="BC67" s="39" t="n">
        <f aca="false">AY67+BA67</f>
        <v>24497.3005632</v>
      </c>
      <c r="BD67" s="37" t="n">
        <f aca="false">SUM(AH67:AK67)*AZ67+SUM(AL67:AN67)*BB67</f>
        <v>2.14465045351232</v>
      </c>
      <c r="BE67" s="37" t="n">
        <f aca="false">MAX(0,SUM(AH67:AK67)*(1-AZ67)-Assumptions!$C$79)</f>
        <v>0</v>
      </c>
      <c r="BF67" s="39" t="n">
        <f aca="false">AP67*AZ67</f>
        <v>880.242285155002</v>
      </c>
      <c r="BG67" s="39" t="n">
        <f aca="false">AQ67*AZ67</f>
        <v>817.367836215359</v>
      </c>
      <c r="BH67" s="39" t="n">
        <f aca="false">AR67*AZ67</f>
        <v>5763.49115280061</v>
      </c>
      <c r="BI67" s="39" t="n">
        <f aca="false">AS67*AZ67</f>
        <v>825.4564357872</v>
      </c>
      <c r="BJ67" s="39" t="n">
        <f aca="false">AT67*BB67</f>
        <v>2730.23037528283</v>
      </c>
      <c r="BK67" s="39" t="n">
        <f aca="false">AU67*BB67</f>
        <v>11603.479094952</v>
      </c>
      <c r="BL67" s="39" t="n">
        <f aca="false">AV67*BB67</f>
        <v>1877.03338300695</v>
      </c>
      <c r="BM67" s="39" t="n">
        <f aca="false">H67*(Assumptions!$C$68+Assumptions!$C$66)*Assumptions!$F$10</f>
        <v>225</v>
      </c>
      <c r="BN67" s="39" t="n">
        <f aca="false">K67*$C$19+L67*$D$19+M67*$E$19+N67*$F$19+O67*$G$19</f>
        <v>0</v>
      </c>
      <c r="BO67" s="39" t="n">
        <f aca="false">Assumptions!$C$99*W67</f>
        <v>1466.94650087152</v>
      </c>
      <c r="BP67" s="39" t="n">
        <f aca="false">Assumptions!F$98/12+P67*Assumptions!$C$101/12</f>
        <v>3399.33333333333</v>
      </c>
      <c r="BQ67" s="39" t="n">
        <f aca="false">BD67*Assumptions!$C$102/12+Assumptions!$C$100</f>
        <v>636.162613378079</v>
      </c>
      <c r="BR67" s="39" t="n">
        <f aca="false">SUM(BF67:BQ67)</f>
        <v>30224.7430107829</v>
      </c>
      <c r="BS67" s="39" t="n">
        <f aca="false">W67-AD67-BR67</f>
        <v>24454.4578411313</v>
      </c>
      <c r="BT67" s="39" t="n">
        <f aca="false">MAX(0,BD67-BD66)*Assumptions!$C$103</f>
        <v>270.358312067071</v>
      </c>
      <c r="BU67" s="39" t="n">
        <f aca="false">-'P&amp;L'!E24</f>
        <v>-23623.8954867853</v>
      </c>
      <c r="BV67" s="39" t="n">
        <f aca="false">-(W67-W66)*12*Assumptions!$C$108</f>
        <v>-4357.46650880736</v>
      </c>
      <c r="BW67" s="39" t="n">
        <f aca="false">Assumptions!F$114</f>
        <v>0</v>
      </c>
      <c r="BX67" s="39" t="n">
        <f aca="false">BS67-BT67+BU67+BV67+BW67</f>
        <v>-3797.26246652843</v>
      </c>
      <c r="BY67" s="29" t="n">
        <f aca="false">BY66+BX67</f>
        <v>89820.3807734242</v>
      </c>
    </row>
    <row r="68" customFormat="false" ht="15" hidden="false" customHeight="false" outlineLevel="0" collapsed="false">
      <c r="A68" s="45" t="n">
        <v>38</v>
      </c>
      <c r="B68" s="45" t="n">
        <v>2030</v>
      </c>
      <c r="C68" s="45" t="n">
        <v>3</v>
      </c>
      <c r="D68" s="35" t="n">
        <f aca="false">ROUND(Assumptions!F$18*Assumptions!$F$7/12,0)</f>
        <v>250</v>
      </c>
      <c r="E68" s="35" t="n">
        <f aca="false">Rollout!$C$10-I67</f>
        <v>8142</v>
      </c>
      <c r="F68" s="39" t="n">
        <f aca="false">H68*$C$26+H67*$D$26+H66*$E$26+H65*$F$26+H64*$G$26+H63*$H$26+H62*$I$26+H61*$J$26+H60*$K$26+H59*$L$26+H58*$M$26+H57*$N$26</f>
        <v>683.362478939515</v>
      </c>
      <c r="G68" s="39" t="n">
        <f aca="false">BY67-Assumptions!$C$110-F67-Assumptions!$C$111*(Assumptions!$C$100+Assumptions!F$98/12+BC67)</f>
        <v>-15441.7101676976</v>
      </c>
      <c r="H68" s="35" t="n">
        <f aca="false">IF(BE67&gt;0,0,MAX(0,MIN(D68,E68,INT(G68/$C$27))))</f>
        <v>0</v>
      </c>
      <c r="I68" s="35" t="n">
        <f aca="false">I67+H68</f>
        <v>291</v>
      </c>
      <c r="J68" s="35" t="n">
        <f aca="false">SUM(H57:H68)</f>
        <v>215</v>
      </c>
      <c r="K68" s="35" t="n">
        <f aca="false">H68*$C$23+H67*$D$23+H66*$E$23+H65*$F$23+H64*$G$23+H63*$H$23+H62*$I$23+H61*$J$23+H60*$K$23+H59*$L$23+H58*$M$23+H57*$N$23</f>
        <v>230.5447</v>
      </c>
      <c r="L68" s="35" t="n">
        <f aca="false">SUM(H45:H56)</f>
        <v>43</v>
      </c>
      <c r="M68" s="35" t="n">
        <f aca="false">SUM(H33:H44)</f>
        <v>19</v>
      </c>
      <c r="N68" s="35" t="n">
        <f aca="false">SUM(H31:H32)</f>
        <v>14</v>
      </c>
      <c r="O68" s="35" t="n">
        <f aca="false">0</f>
        <v>0</v>
      </c>
      <c r="P68" s="35" t="n">
        <f aca="false">J68*$C$6+L68*$D$6+M68*$E$6+N68*$F$6+O68*$G$6</f>
        <v>287.92</v>
      </c>
      <c r="Q68" s="39" t="n">
        <f aca="false">K68*$C$7+L68*$D$7+M68*$E$7+N68*$F$7+O68*$G$7</f>
        <v>25947.5979728</v>
      </c>
      <c r="R68" s="39" t="n">
        <f aca="false">K68*$C$8+L68*$D$8+M68*$E$8+N68*$F$8+O68*$G$8</f>
        <v>17486.035447296</v>
      </c>
      <c r="S68" s="39" t="n">
        <f aca="false">K68*$C$9+L68*$D$9+M68*$E$9+N68*$F$9+O68*$G$9</f>
        <v>7732.494</v>
      </c>
      <c r="T68" s="39" t="n">
        <f aca="false">K68*$C$10+L68*$D$10+M68*$E$10+N68*$F$10+O68*$G$10</f>
        <v>11388.70335645</v>
      </c>
      <c r="U68" s="39" t="n">
        <f aca="false">K68*$C$11+L68*$D$11+M68*$E$11+N68*$F$11+O68*$G$11</f>
        <v>11022.5787</v>
      </c>
      <c r="V68" s="39" t="n">
        <f aca="false">K68*$C$12+L68*$D$12+M68*$E$12+N68*$F$12+O68*$G$12</f>
        <v>3892.316736</v>
      </c>
      <c r="W68" s="39" t="n">
        <f aca="false">SUM(Q68:V68)</f>
        <v>77469.726212546</v>
      </c>
      <c r="X68" s="39" t="n">
        <f aca="false">J68*$C$14+L68*$D$14+M68*$E$14+N68*$F$14+O68*$G$14</f>
        <v>9160.41473333334</v>
      </c>
      <c r="Y68" s="39" t="n">
        <f aca="false">J68*$C$15+L68*$D$15+M68*$E$15+N68*$F$15+O68*$G$15</f>
        <v>7198</v>
      </c>
      <c r="Z68" s="39" t="n">
        <f aca="false">K68*$C$16+L68*$D$16+M68*$E$16+N68*$F$16+O68*$G$16</f>
        <v>145.586621215</v>
      </c>
      <c r="AA68" s="39" t="n">
        <f aca="false">K68*$C$17+L68*$D$17+M68*$E$17+N68*$F$17+O68*$G$17</f>
        <v>2062.07069616198</v>
      </c>
      <c r="AB68" s="39" t="n">
        <f aca="false">J68*$C$18+L68*$D$18+M68*$E$18+N68*$F$18+O68*$G$18</f>
        <v>121.533333333333</v>
      </c>
      <c r="AC68" s="39" t="n">
        <f aca="false">H68*Assumptions!$C$67*Assumptions!$F$10</f>
        <v>0</v>
      </c>
      <c r="AD68" s="39" t="n">
        <f aca="false">SUM(X68:AC68)</f>
        <v>18687.6053840437</v>
      </c>
      <c r="AE68" s="35" t="n">
        <f aca="false">K68*$C$20+L68*$D$20+M68*$E$20+N68*$F$20+O68*$G$20</f>
        <v>58234.648486</v>
      </c>
      <c r="AF68" s="35" t="n">
        <f aca="false">K68*$C$21+L68*$D$21+M68*$E$21+N68*$F$21+O68*$G$21</f>
        <v>3351501.6724</v>
      </c>
      <c r="AG68" s="35" t="n">
        <f aca="false">K68*$C$22+L68*$D$22+M68*$E$22+N68*$F$22+O68*$G$22</f>
        <v>2753.090423264</v>
      </c>
      <c r="AH68" s="37" t="n">
        <f aca="false">P68/Assumptions!$C$76</f>
        <v>0.28792</v>
      </c>
      <c r="AI68" s="37" t="n">
        <f aca="false">P68/Assumptions!$C$77</f>
        <v>0.28792</v>
      </c>
      <c r="AJ68" s="37" t="n">
        <f aca="false">P68/Assumptions!$C$78</f>
        <v>2.39933333333333</v>
      </c>
      <c r="AK68" s="37" t="n">
        <f aca="false">H68/(Assumptions!$C$19/12)</f>
        <v>0</v>
      </c>
      <c r="AL68" s="37" t="n">
        <f aca="false">Assumptions!F$92</f>
        <v>1</v>
      </c>
      <c r="AM68" s="37" t="n">
        <f aca="false">Assumptions!F$93</f>
        <v>4</v>
      </c>
      <c r="AN68" s="37" t="n">
        <f aca="false">Assumptions!F$94</f>
        <v>1</v>
      </c>
      <c r="AO68" s="37" t="n">
        <f aca="false">SUM(AH68:AN68)</f>
        <v>8.97517333333333</v>
      </c>
      <c r="AP68" s="39" t="n">
        <f aca="false">AH68*Assumptions!$C$85*(1+Assumptions!$C$73)*(1+Assumptions!$C$74)^3/12</f>
        <v>2294.08927591667</v>
      </c>
      <c r="AQ68" s="39" t="n">
        <f aca="false">AI68*Assumptions!$C$86*(1+Assumptions!$C$73)*(1+Assumptions!$C$74)^3/12</f>
        <v>2130.22575620833</v>
      </c>
      <c r="AR68" s="39" t="n">
        <f aca="false">AJ68*Assumptions!$C$87*(1+Assumptions!$C$73)*(1+Assumptions!$C$74)^3/12</f>
        <v>15020.8226399306</v>
      </c>
      <c r="AS68" s="39" t="n">
        <f aca="false">AK68*Assumptions!$C$85*(1+Assumptions!$C$73)*(1+Assumptions!$C$74)^3/12</f>
        <v>0</v>
      </c>
      <c r="AT68" s="39" t="n">
        <f aca="false">AL68*Assumptions!$C$83*(1+Assumptions!$C$73)*(1+Assumptions!$C$74)^3/12</f>
        <v>18212.1166666667</v>
      </c>
      <c r="AU68" s="39" t="n">
        <f aca="false">AM68*Assumptions!$C$84*(1+Assumptions!$C$73)*(1+Assumptions!$C$74)^3/12</f>
        <v>77401.4958333333</v>
      </c>
      <c r="AV68" s="39" t="n">
        <f aca="false">AN68*Assumptions!$C$88*(1+Assumptions!$C$73)*(1+Assumptions!$C$74)^3/12</f>
        <v>12520.8302083333</v>
      </c>
      <c r="AW68" s="39" t="n">
        <f aca="false">SUM(AP68:AV68)</f>
        <v>127579.580380389</v>
      </c>
      <c r="AX68" s="39" t="n">
        <f aca="false">MIN(Assumptions!$C$80*W67,MAX(0,BS67+BC67))</f>
        <v>29338.9300174304</v>
      </c>
      <c r="AY68" s="39" t="n">
        <f aca="false">IF(SUM(AH68:AK68)&lt;=0,0,MIN(AX68,SUM(AP68:AS68)*MAX(0,1-Assumptions!$C$79/SUM(AH68:AK68))))</f>
        <v>6373.53780646416</v>
      </c>
      <c r="AZ68" s="36" t="n">
        <f aca="false">IF(SUM(AP68:AS68)=0,0,AY68/SUM(AP68:AS68))</f>
        <v>0.327770258763635</v>
      </c>
      <c r="BA68" s="39" t="n">
        <f aca="false">MIN(AX68-AY68,SUM(AT68:AV68))</f>
        <v>22965.3922109662</v>
      </c>
      <c r="BB68" s="36" t="n">
        <f aca="false">IF(SUM(AT68:AV68)=0,0,BA68/SUM(AT68:AV68))</f>
        <v>0.212378143686465</v>
      </c>
      <c r="BC68" s="39" t="n">
        <f aca="false">AY68+BA68</f>
        <v>29338.9300174304</v>
      </c>
      <c r="BD68" s="37" t="n">
        <f aca="false">SUM(AH68:AK68)*AZ68+SUM(AL68:AN68)*BB68</f>
        <v>2.24944219545212</v>
      </c>
      <c r="BE68" s="37" t="n">
        <f aca="false">MAX(0,SUM(AH68:AK68)*(1-AZ68)-Assumptions!$C$79)</f>
        <v>0</v>
      </c>
      <c r="BF68" s="39" t="n">
        <f aca="false">AP68*AZ68</f>
        <v>751.934235594086</v>
      </c>
      <c r="BG68" s="39" t="n">
        <f aca="false">AQ68*AZ68</f>
        <v>698.224647337366</v>
      </c>
      <c r="BH68" s="39" t="n">
        <f aca="false">AR68*AZ68</f>
        <v>4923.37892353271</v>
      </c>
      <c r="BI68" s="39" t="n">
        <f aca="false">AS68*AZ68</f>
        <v>0</v>
      </c>
      <c r="BJ68" s="39" t="n">
        <f aca="false">AT68*BB68</f>
        <v>3867.855530268</v>
      </c>
      <c r="BK68" s="39" t="n">
        <f aca="false">AU68*BB68</f>
        <v>16438.386003639</v>
      </c>
      <c r="BL68" s="39" t="n">
        <f aca="false">AV68*BB68</f>
        <v>2659.15067705925</v>
      </c>
      <c r="BM68" s="39" t="n">
        <f aca="false">H68*(Assumptions!$C$68+Assumptions!$C$66)*Assumptions!$F$10</f>
        <v>0</v>
      </c>
      <c r="BN68" s="39" t="n">
        <f aca="false">K68*$C$19+L68*$D$19+M68*$E$19+N68*$F$19+O68*$G$19</f>
        <v>0</v>
      </c>
      <c r="BO68" s="39" t="n">
        <f aca="false">Assumptions!$C$99*W68</f>
        <v>1549.39452425092</v>
      </c>
      <c r="BP68" s="39" t="n">
        <f aca="false">Assumptions!F$98/12+P68*Assumptions!$C$101/12</f>
        <v>3399.33333333333</v>
      </c>
      <c r="BQ68" s="39" t="n">
        <f aca="false">BD68*Assumptions!$C$102/12+Assumptions!$C$100</f>
        <v>662.360548863031</v>
      </c>
      <c r="BR68" s="39" t="n">
        <f aca="false">SUM(BF68:BQ68)</f>
        <v>34950.0184238777</v>
      </c>
      <c r="BS68" s="39" t="n">
        <f aca="false">W68-AD68-BR68</f>
        <v>23832.1024046247</v>
      </c>
      <c r="BT68" s="39" t="n">
        <f aca="false">MAX(0,BD68-BD67)*Assumptions!$C$103</f>
        <v>261.979354849516</v>
      </c>
      <c r="BU68" s="39" t="n">
        <f aca="false">0</f>
        <v>0</v>
      </c>
      <c r="BV68" s="39" t="n">
        <f aca="false">-(W68-W67)*12*Assumptions!$C$108</f>
        <v>-1484.06442082919</v>
      </c>
      <c r="BW68" s="39" t="n">
        <f aca="false">0</f>
        <v>0</v>
      </c>
      <c r="BX68" s="39" t="n">
        <f aca="false">BS68-BT68+BU68+BV68+BW68</f>
        <v>22086.0586289459</v>
      </c>
      <c r="BY68" s="29" t="n">
        <f aca="false">BY67+BX68</f>
        <v>111906.43940237</v>
      </c>
    </row>
    <row r="69" customFormat="false" ht="15" hidden="false" customHeight="false" outlineLevel="0" collapsed="false">
      <c r="A69" s="45" t="n">
        <v>39</v>
      </c>
      <c r="B69" s="45" t="n">
        <v>2030</v>
      </c>
      <c r="C69" s="45" t="n">
        <v>3</v>
      </c>
      <c r="D69" s="35" t="n">
        <f aca="false">ROUND(Assumptions!F$18*Assumptions!$F$7/12,0)</f>
        <v>250</v>
      </c>
      <c r="E69" s="35" t="n">
        <f aca="false">Rollout!$C$10-I68</f>
        <v>8142</v>
      </c>
      <c r="F69" s="39" t="n">
        <f aca="false">H69*$C$26+H68*$D$26+H67*$E$26+H66*$F$26+H65*$G$26+H64*$H$26+H63*$I$26+H62*$J$26+H61*$K$26+H60*$L$26+H59*$M$26+H58*$N$26</f>
        <v>150.16222393692</v>
      </c>
      <c r="G69" s="39" t="n">
        <f aca="false">BY68-Assumptions!$C$110-F68-Assumptions!$C$111*(Assumptions!$C$100+Assumptions!F$98/12+BC68)</f>
        <v>-11532.643146291</v>
      </c>
      <c r="H69" s="35" t="n">
        <f aca="false">IF(BE68&gt;0,0,MAX(0,MIN(D69,E69,INT(G69/$C$27))))</f>
        <v>0</v>
      </c>
      <c r="I69" s="35" t="n">
        <f aca="false">I68+H69</f>
        <v>291</v>
      </c>
      <c r="J69" s="35" t="n">
        <f aca="false">SUM(H58:H69)</f>
        <v>215</v>
      </c>
      <c r="K69" s="35" t="n">
        <f aca="false">H69*$C$23+H68*$D$23+H67*$E$23+H66*$F$23+H65*$G$23+H64*$H$23+H63*$I$23+H62*$J$23+H61*$K$23+H60*$L$23+H59*$M$23+H58*$N$23</f>
        <v>269.6365</v>
      </c>
      <c r="L69" s="35" t="n">
        <f aca="false">SUM(H46:H57)</f>
        <v>43</v>
      </c>
      <c r="M69" s="35" t="n">
        <f aca="false">SUM(H34:H45)</f>
        <v>19</v>
      </c>
      <c r="N69" s="35" t="n">
        <f aca="false">SUM(H31:H33)</f>
        <v>14</v>
      </c>
      <c r="O69" s="35" t="n">
        <f aca="false">0</f>
        <v>0</v>
      </c>
      <c r="P69" s="35" t="n">
        <f aca="false">J69*$C$6+L69*$D$6+M69*$E$6+N69*$F$6+O69*$G$6</f>
        <v>287.92</v>
      </c>
      <c r="Q69" s="39" t="n">
        <f aca="false">K69*$C$7+L69*$D$7+M69*$E$7+N69*$F$7+O69*$G$7</f>
        <v>27860.907032</v>
      </c>
      <c r="R69" s="39" t="n">
        <f aca="false">K69*$C$8+L69*$D$8+M69*$E$8+N69*$F$8+O69*$G$8</f>
        <v>18518.35919232</v>
      </c>
      <c r="S69" s="39" t="n">
        <f aca="false">K69*$C$9+L69*$D$9+M69*$E$9+N69*$F$9+O69*$G$9</f>
        <v>7732.494</v>
      </c>
      <c r="T69" s="39" t="n">
        <f aca="false">K69*$C$10+L69*$D$10+M69*$E$10+N69*$F$10+O69*$G$10</f>
        <v>11744.57555775</v>
      </c>
      <c r="U69" s="39" t="n">
        <f aca="false">K69*$C$11+L69*$D$11+M69*$E$11+N69*$F$11+O69*$G$11</f>
        <v>11843.5065</v>
      </c>
      <c r="V69" s="39" t="n">
        <f aca="false">K69*$C$12+L69*$D$12+M69*$E$12+N69*$F$12+O69*$G$12</f>
        <v>3892.316736</v>
      </c>
      <c r="W69" s="39" t="n">
        <f aca="false">SUM(Q69:V69)</f>
        <v>81592.15901807</v>
      </c>
      <c r="X69" s="39" t="n">
        <f aca="false">J69*$C$14+L69*$D$14+M69*$E$14+N69*$F$14+O69*$G$14</f>
        <v>9160.41473333334</v>
      </c>
      <c r="Y69" s="39" t="n">
        <f aca="false">J69*$C$15+L69*$D$15+M69*$E$15+N69*$F$15+O69*$G$15</f>
        <v>7198</v>
      </c>
      <c r="Z69" s="39" t="n">
        <f aca="false">K69*$C$16+L69*$D$16+M69*$E$16+N69*$F$16+O69*$G$16</f>
        <v>157.449027925</v>
      </c>
      <c r="AA69" s="39" t="n">
        <f aca="false">K69*$C$17+L69*$D$17+M69*$E$17+N69*$F$17+O69*$G$17</f>
        <v>2204.69066736928</v>
      </c>
      <c r="AB69" s="39" t="n">
        <f aca="false">J69*$C$18+L69*$D$18+M69*$E$18+N69*$F$18+O69*$G$18</f>
        <v>121.533333333333</v>
      </c>
      <c r="AC69" s="39" t="n">
        <f aca="false">H69*Assumptions!$C$67*Assumptions!$F$10</f>
        <v>0</v>
      </c>
      <c r="AD69" s="39" t="n">
        <f aca="false">SUM(X69:AC69)</f>
        <v>18842.087761961</v>
      </c>
      <c r="AE69" s="35" t="n">
        <f aca="false">K69*$C$20+L69*$D$20+M69*$E$20+N69*$F$20+O69*$G$20</f>
        <v>62979.61117</v>
      </c>
      <c r="AF69" s="35" t="n">
        <f aca="false">K69*$C$21+L69*$D$21+M69*$E$21+N69*$F$21+O69*$G$21</f>
        <v>3667832.518</v>
      </c>
      <c r="AG69" s="35" t="n">
        <f aca="false">K69*$C$22+L69*$D$22+M69*$E$22+N69*$F$22+O69*$G$22</f>
        <v>2943.74582288</v>
      </c>
      <c r="AH69" s="37" t="n">
        <f aca="false">P69/Assumptions!$C$76</f>
        <v>0.28792</v>
      </c>
      <c r="AI69" s="37" t="n">
        <f aca="false">P69/Assumptions!$C$77</f>
        <v>0.28792</v>
      </c>
      <c r="AJ69" s="37" t="n">
        <f aca="false">P69/Assumptions!$C$78</f>
        <v>2.39933333333333</v>
      </c>
      <c r="AK69" s="37" t="n">
        <f aca="false">H69/(Assumptions!$C$19/12)</f>
        <v>0</v>
      </c>
      <c r="AL69" s="37" t="n">
        <f aca="false">Assumptions!F$92</f>
        <v>1</v>
      </c>
      <c r="AM69" s="37" t="n">
        <f aca="false">Assumptions!F$93</f>
        <v>4</v>
      </c>
      <c r="AN69" s="37" t="n">
        <f aca="false">Assumptions!F$94</f>
        <v>1</v>
      </c>
      <c r="AO69" s="37" t="n">
        <f aca="false">SUM(AH69:AN69)</f>
        <v>8.97517333333333</v>
      </c>
      <c r="AP69" s="39" t="n">
        <f aca="false">AH69*Assumptions!$C$85*(1+Assumptions!$C$73)*(1+Assumptions!$C$74)^3/12</f>
        <v>2294.08927591667</v>
      </c>
      <c r="AQ69" s="39" t="n">
        <f aca="false">AI69*Assumptions!$C$86*(1+Assumptions!$C$73)*(1+Assumptions!$C$74)^3/12</f>
        <v>2130.22575620833</v>
      </c>
      <c r="AR69" s="39" t="n">
        <f aca="false">AJ69*Assumptions!$C$87*(1+Assumptions!$C$73)*(1+Assumptions!$C$74)^3/12</f>
        <v>15020.8226399306</v>
      </c>
      <c r="AS69" s="39" t="n">
        <f aca="false">AK69*Assumptions!$C$85*(1+Assumptions!$C$73)*(1+Assumptions!$C$74)^3/12</f>
        <v>0</v>
      </c>
      <c r="AT69" s="39" t="n">
        <f aca="false">AL69*Assumptions!$C$83*(1+Assumptions!$C$73)*(1+Assumptions!$C$74)^3/12</f>
        <v>18212.1166666667</v>
      </c>
      <c r="AU69" s="39" t="n">
        <f aca="false">AM69*Assumptions!$C$84*(1+Assumptions!$C$73)*(1+Assumptions!$C$74)^3/12</f>
        <v>77401.4958333333</v>
      </c>
      <c r="AV69" s="39" t="n">
        <f aca="false">AN69*Assumptions!$C$88*(1+Assumptions!$C$73)*(1+Assumptions!$C$74)^3/12</f>
        <v>12520.8302083333</v>
      </c>
      <c r="AW69" s="39" t="n">
        <f aca="false">SUM(AP69:AV69)</f>
        <v>127579.580380389</v>
      </c>
      <c r="AX69" s="39" t="n">
        <f aca="false">MIN(Assumptions!$C$80*W68,MAX(0,BS68+BC68))</f>
        <v>30987.8904850184</v>
      </c>
      <c r="AY69" s="39" t="n">
        <f aca="false">IF(SUM(AH69:AK69)&lt;=0,0,MIN(AX69,SUM(AP69:AS69)*MAX(0,1-Assumptions!$C$79/SUM(AH69:AK69))))</f>
        <v>6373.53780646416</v>
      </c>
      <c r="AZ69" s="36" t="n">
        <f aca="false">IF(SUM(AP69:AS69)=0,0,AY69/SUM(AP69:AS69))</f>
        <v>0.327770258763635</v>
      </c>
      <c r="BA69" s="39" t="n">
        <f aca="false">MIN(AX69-AY69,SUM(AT69:AV69))</f>
        <v>24614.3526785542</v>
      </c>
      <c r="BB69" s="36" t="n">
        <f aca="false">IF(SUM(AT69:AV69)=0,0,BA69/SUM(AT69:AV69))</f>
        <v>0.227627313389366</v>
      </c>
      <c r="BC69" s="39" t="n">
        <f aca="false">AY69+BA69</f>
        <v>30987.8904850184</v>
      </c>
      <c r="BD69" s="37" t="n">
        <f aca="false">SUM(AH69:AK69)*AZ69+SUM(AL69:AN69)*BB69</f>
        <v>2.34093721366953</v>
      </c>
      <c r="BE69" s="37" t="n">
        <f aca="false">MAX(0,SUM(AH69:AK69)*(1-AZ69)-Assumptions!$C$79)</f>
        <v>0</v>
      </c>
      <c r="BF69" s="39" t="n">
        <f aca="false">AP69*AZ69</f>
        <v>751.934235594086</v>
      </c>
      <c r="BG69" s="39" t="n">
        <f aca="false">AQ69*AZ69</f>
        <v>698.224647337366</v>
      </c>
      <c r="BH69" s="39" t="n">
        <f aca="false">AR69*AZ69</f>
        <v>4923.37892353271</v>
      </c>
      <c r="BI69" s="39" t="n">
        <f aca="false">AS69*AZ69</f>
        <v>0</v>
      </c>
      <c r="BJ69" s="39" t="n">
        <f aca="false">AT69*BB69</f>
        <v>4145.57518796703</v>
      </c>
      <c r="BK69" s="39" t="n">
        <f aca="false">AU69*BB69</f>
        <v>17618.6945488599</v>
      </c>
      <c r="BL69" s="39" t="n">
        <f aca="false">AV69*BB69</f>
        <v>2850.08294172733</v>
      </c>
      <c r="BM69" s="39" t="n">
        <f aca="false">H69*(Assumptions!$C$68+Assumptions!$C$66)*Assumptions!$F$10</f>
        <v>0</v>
      </c>
      <c r="BN69" s="39" t="n">
        <f aca="false">K69*$C$19+L69*$D$19+M69*$E$19+N69*$F$19+O69*$G$19</f>
        <v>0</v>
      </c>
      <c r="BO69" s="39" t="n">
        <f aca="false">Assumptions!$C$99*W69</f>
        <v>1631.8431803614</v>
      </c>
      <c r="BP69" s="39" t="n">
        <f aca="false">Assumptions!F$98/12+P69*Assumptions!$C$101/12</f>
        <v>3399.33333333333</v>
      </c>
      <c r="BQ69" s="39" t="n">
        <f aca="false">BD69*Assumptions!$C$102/12+Assumptions!$C$100</f>
        <v>685.234303417382</v>
      </c>
      <c r="BR69" s="39" t="n">
        <f aca="false">SUM(BF69:BQ69)</f>
        <v>36704.3013021305</v>
      </c>
      <c r="BS69" s="39" t="n">
        <f aca="false">W69-AD69-BR69</f>
        <v>26045.7699539785</v>
      </c>
      <c r="BT69" s="39" t="n">
        <f aca="false">MAX(0,BD69-BD68)*Assumptions!$C$103</f>
        <v>228.737545543514</v>
      </c>
      <c r="BU69" s="39" t="n">
        <f aca="false">0</f>
        <v>0</v>
      </c>
      <c r="BV69" s="39" t="n">
        <f aca="false">-(W69-W68)*12*Assumptions!$C$108</f>
        <v>-1484.07580998865</v>
      </c>
      <c r="BW69" s="39" t="n">
        <f aca="false">0</f>
        <v>0</v>
      </c>
      <c r="BX69" s="39" t="n">
        <f aca="false">BS69-BT69+BU69+BV69+BW69</f>
        <v>24332.9565984464</v>
      </c>
      <c r="BY69" s="29" t="n">
        <f aca="false">BY68+BX69</f>
        <v>136239.396000817</v>
      </c>
    </row>
    <row r="70" customFormat="false" ht="15" hidden="false" customHeight="false" outlineLevel="0" collapsed="false">
      <c r="A70" s="45" t="n">
        <v>40</v>
      </c>
      <c r="B70" s="45" t="n">
        <v>2030</v>
      </c>
      <c r="C70" s="45" t="n">
        <v>3</v>
      </c>
      <c r="D70" s="35" t="n">
        <f aca="false">ROUND(Assumptions!F$18*Assumptions!$F$7/12,0)</f>
        <v>250</v>
      </c>
      <c r="E70" s="35" t="n">
        <f aca="false">Rollout!$C$10-I69</f>
        <v>8142</v>
      </c>
      <c r="F70" s="39" t="n">
        <f aca="false">H70*$C$26+H69*$D$26+H68*$E$26+H67*$F$26+H66*$G$26+H65*$H$26+H64*$I$26+H63*$J$26+H62*$K$26+H61*$L$26+H60*$M$26+H59*$N$26</f>
        <v>3268.22876446089</v>
      </c>
      <c r="G70" s="39" t="n">
        <f aca="false">BY69-Assumptions!$C$110-F69-Assumptions!$C$111*(Assumptions!$C$100+Assumptions!F$98/12+BC69)</f>
        <v>6737.67183680598</v>
      </c>
      <c r="H70" s="35" t="n">
        <f aca="false">IF(BE69&gt;0,0,MAX(0,MIN(D70,E70,INT(G70/$C$27))))</f>
        <v>31</v>
      </c>
      <c r="I70" s="35" t="n">
        <f aca="false">I69+H70</f>
        <v>322</v>
      </c>
      <c r="J70" s="35" t="n">
        <f aca="false">SUM(H59:H70)</f>
        <v>246</v>
      </c>
      <c r="K70" s="35" t="n">
        <f aca="false">H70*$C$23+H69*$D$23+H68*$E$23+H67*$F$23+H66*$G$23+H65*$H$23+H64*$I$23+H63*$J$23+H62*$K$23+H61*$L$23+H60*$M$23+H59*$N$23</f>
        <v>308.7277</v>
      </c>
      <c r="L70" s="35" t="n">
        <f aca="false">SUM(H47:H58)</f>
        <v>43</v>
      </c>
      <c r="M70" s="35" t="n">
        <f aca="false">SUM(H35:H46)</f>
        <v>19</v>
      </c>
      <c r="N70" s="35" t="n">
        <f aca="false">SUM(H31:H34)</f>
        <v>14</v>
      </c>
      <c r="O70" s="35" t="n">
        <f aca="false">0</f>
        <v>0</v>
      </c>
      <c r="P70" s="35" t="n">
        <f aca="false">J70*$C$6+L70*$D$6+M70*$E$6+N70*$F$6+O70*$G$6</f>
        <v>318.92</v>
      </c>
      <c r="Q70" s="39" t="n">
        <f aca="false">K70*$C$7+L70*$D$7+M70*$E$7+N70*$F$7+O70*$G$7</f>
        <v>29774.1867248</v>
      </c>
      <c r="R70" s="39" t="n">
        <f aca="false">K70*$C$8+L70*$D$8+M70*$E$8+N70*$F$8+O70*$G$8</f>
        <v>19550.667092736</v>
      </c>
      <c r="S70" s="39" t="n">
        <f aca="false">K70*$C$9+L70*$D$9+M70*$E$9+N70*$F$9+O70*$G$9</f>
        <v>7732.494</v>
      </c>
      <c r="T70" s="39" t="n">
        <f aca="false">K70*$C$10+L70*$D$10+M70*$E$10+N70*$F$10+O70*$G$10</f>
        <v>12100.44229695</v>
      </c>
      <c r="U70" s="39" t="n">
        <f aca="false">K70*$C$11+L70*$D$11+M70*$E$11+N70*$F$11+O70*$G$11</f>
        <v>12664.4217</v>
      </c>
      <c r="V70" s="39" t="n">
        <f aca="false">K70*$C$12+L70*$D$12+M70*$E$12+N70*$F$12+O70*$G$12</f>
        <v>3892.316736</v>
      </c>
      <c r="W70" s="39" t="n">
        <f aca="false">SUM(Q70:V70)</f>
        <v>85714.528550486</v>
      </c>
      <c r="X70" s="39" t="n">
        <f aca="false">J70*$C$14+L70*$D$14+M70*$E$14+N70*$F$14+O70*$G$14</f>
        <v>10146.7055666667</v>
      </c>
      <c r="Y70" s="39" t="n">
        <f aca="false">J70*$C$15+L70*$D$15+M70*$E$15+N70*$F$15+O70*$G$15</f>
        <v>7973</v>
      </c>
      <c r="Z70" s="39" t="n">
        <f aca="false">K70*$C$16+L70*$D$16+M70*$E$16+N70*$F$16+O70*$G$16</f>
        <v>169.311252565</v>
      </c>
      <c r="AA70" s="39" t="n">
        <f aca="false">K70*$C$17+L70*$D$17+M70*$E$17+N70*$F$17+O70*$G$17</f>
        <v>2347.30844957574</v>
      </c>
      <c r="AB70" s="39" t="n">
        <f aca="false">J70*$C$18+L70*$D$18+M70*$E$18+N70*$F$18+O70*$G$18</f>
        <v>121.533333333333</v>
      </c>
      <c r="AC70" s="39" t="n">
        <f aca="false">H70*Assumptions!$C$67*Assumptions!$F$10</f>
        <v>465</v>
      </c>
      <c r="AD70" s="39" t="n">
        <f aca="false">SUM(X70:AC70)</f>
        <v>21222.8586021407</v>
      </c>
      <c r="AE70" s="35" t="n">
        <f aca="false">K70*$C$20+L70*$D$20+M70*$E$20+N70*$F$20+O70*$G$20</f>
        <v>67724.501026</v>
      </c>
      <c r="AF70" s="35" t="n">
        <f aca="false">K70*$C$21+L70*$D$21+M70*$E$21+N70*$F$21+O70*$G$21</f>
        <v>3984158.5084</v>
      </c>
      <c r="AG70" s="35" t="n">
        <f aca="false">K70*$C$22+L70*$D$22+M70*$E$22+N70*$F$22+O70*$G$22</f>
        <v>3134.398296224</v>
      </c>
      <c r="AH70" s="37" t="n">
        <f aca="false">P70/Assumptions!$C$76</f>
        <v>0.31892</v>
      </c>
      <c r="AI70" s="37" t="n">
        <f aca="false">P70/Assumptions!$C$77</f>
        <v>0.31892</v>
      </c>
      <c r="AJ70" s="37" t="n">
        <f aca="false">P70/Assumptions!$C$78</f>
        <v>2.65766666666667</v>
      </c>
      <c r="AK70" s="37" t="n">
        <f aca="false">H70/(Assumptions!$C$19/12)</f>
        <v>0.93</v>
      </c>
      <c r="AL70" s="37" t="n">
        <f aca="false">Assumptions!F$92</f>
        <v>1</v>
      </c>
      <c r="AM70" s="37" t="n">
        <f aca="false">Assumptions!F$93</f>
        <v>4</v>
      </c>
      <c r="AN70" s="37" t="n">
        <f aca="false">Assumptions!F$94</f>
        <v>1</v>
      </c>
      <c r="AO70" s="37" t="n">
        <f aca="false">SUM(AH70:AN70)</f>
        <v>10.2255066666667</v>
      </c>
      <c r="AP70" s="39" t="n">
        <f aca="false">AH70*Assumptions!$C$85*(1+Assumptions!$C$73)*(1+Assumptions!$C$74)^3/12</f>
        <v>2541.09110820833</v>
      </c>
      <c r="AQ70" s="39" t="n">
        <f aca="false">AI70*Assumptions!$C$86*(1+Assumptions!$C$73)*(1+Assumptions!$C$74)^3/12</f>
        <v>2359.58460047917</v>
      </c>
      <c r="AR70" s="39" t="n">
        <f aca="false">AJ70*Assumptions!$C$87*(1+Assumptions!$C$73)*(1+Assumptions!$C$74)^3/12</f>
        <v>16638.0965418403</v>
      </c>
      <c r="AS70" s="39" t="n">
        <f aca="false">AK70*Assumptions!$C$85*(1+Assumptions!$C$73)*(1+Assumptions!$C$74)^3/12</f>
        <v>7410.05496875</v>
      </c>
      <c r="AT70" s="39" t="n">
        <f aca="false">AL70*Assumptions!$C$83*(1+Assumptions!$C$73)*(1+Assumptions!$C$74)^3/12</f>
        <v>18212.1166666667</v>
      </c>
      <c r="AU70" s="39" t="n">
        <f aca="false">AM70*Assumptions!$C$84*(1+Assumptions!$C$73)*(1+Assumptions!$C$74)^3/12</f>
        <v>77401.4958333333</v>
      </c>
      <c r="AV70" s="39" t="n">
        <f aca="false">AN70*Assumptions!$C$88*(1+Assumptions!$C$73)*(1+Assumptions!$C$74)^3/12</f>
        <v>12520.8302083333</v>
      </c>
      <c r="AW70" s="39" t="n">
        <f aca="false">SUM(AP70:AV70)</f>
        <v>137083.269927611</v>
      </c>
      <c r="AX70" s="39" t="n">
        <f aca="false">MIN(Assumptions!$C$80*W69,MAX(0,BS69+BC69))</f>
        <v>32636.863607228</v>
      </c>
      <c r="AY70" s="39" t="n">
        <f aca="false">IF(SUM(AH70:AK70)&lt;=0,0,MIN(AX70,SUM(AP70:AS70)*MAX(0,1-Assumptions!$C$79/SUM(AH70:AK70))))</f>
        <v>15246.883522138</v>
      </c>
      <c r="AZ70" s="36" t="n">
        <f aca="false">IF(SUM(AP70:AS70)=0,0,AY70/SUM(AP70:AS70))</f>
        <v>0.526683979514883</v>
      </c>
      <c r="BA70" s="39" t="n">
        <f aca="false">MIN(AX70-AY70,SUM(AT70:AV70))</f>
        <v>17389.98008509</v>
      </c>
      <c r="BB70" s="36" t="n">
        <f aca="false">IF(SUM(AT70:AV70)=0,0,BA70/SUM(AT70:AV70))</f>
        <v>0.160818141283581</v>
      </c>
      <c r="BC70" s="39" t="n">
        <f aca="false">AY70+BA70</f>
        <v>32636.863607228</v>
      </c>
      <c r="BD70" s="37" t="n">
        <f aca="false">SUM(AH70:AK70)*AZ70+SUM(AL70:AN70)*BB70</f>
        <v>3.19041551436815</v>
      </c>
      <c r="BE70" s="37" t="n">
        <f aca="false">MAX(0,SUM(AH70:AK70)*(1-AZ70)-Assumptions!$C$79)</f>
        <v>0</v>
      </c>
      <c r="BF70" s="39" t="n">
        <f aca="false">AP70*AZ70</f>
        <v>1338.35197718105</v>
      </c>
      <c r="BG70" s="39" t="n">
        <f aca="false">AQ70*AZ70</f>
        <v>1242.7554073824</v>
      </c>
      <c r="BH70" s="39" t="n">
        <f aca="false">AR70*AZ70</f>
        <v>8763.01889820924</v>
      </c>
      <c r="BI70" s="39" t="n">
        <f aca="false">AS70*AZ70</f>
        <v>3902.75723936528</v>
      </c>
      <c r="BJ70" s="39" t="n">
        <f aca="false">AT70*BB70</f>
        <v>2928.83875117306</v>
      </c>
      <c r="BK70" s="39" t="n">
        <f aca="false">AU70*BB70</f>
        <v>12447.5646924855</v>
      </c>
      <c r="BL70" s="39" t="n">
        <f aca="false">AV70*BB70</f>
        <v>2013.57664143148</v>
      </c>
      <c r="BM70" s="39" t="n">
        <f aca="false">H70*(Assumptions!$C$68+Assumptions!$C$66)*Assumptions!$F$10</f>
        <v>775</v>
      </c>
      <c r="BN70" s="39" t="n">
        <f aca="false">K70*$C$19+L70*$D$19+M70*$E$19+N70*$F$19+O70*$G$19</f>
        <v>0</v>
      </c>
      <c r="BO70" s="39" t="n">
        <f aca="false">Assumptions!$C$99*W70</f>
        <v>1714.29057100972</v>
      </c>
      <c r="BP70" s="39" t="n">
        <f aca="false">Assumptions!F$98/12+P70*Assumptions!$C$101/12</f>
        <v>3657.66666666667</v>
      </c>
      <c r="BQ70" s="39" t="n">
        <f aca="false">BD70*Assumptions!$C$102/12+Assumptions!$C$100</f>
        <v>897.603878592038</v>
      </c>
      <c r="BR70" s="39" t="n">
        <f aca="false">SUM(BF70:BQ70)</f>
        <v>39681.4247234964</v>
      </c>
      <c r="BS70" s="39" t="n">
        <f aca="false">W70-AD70-BR70</f>
        <v>24810.2452248488</v>
      </c>
      <c r="BT70" s="39" t="n">
        <f aca="false">MAX(0,BD70-BD69)*Assumptions!$C$103</f>
        <v>2123.69575174656</v>
      </c>
      <c r="BU70" s="39" t="n">
        <f aca="false">0</f>
        <v>0</v>
      </c>
      <c r="BV70" s="39" t="n">
        <f aca="false">-(W70-W69)*12*Assumptions!$C$108</f>
        <v>-1484.05303166976</v>
      </c>
      <c r="BW70" s="39" t="n">
        <f aca="false">0</f>
        <v>0</v>
      </c>
      <c r="BX70" s="39" t="n">
        <f aca="false">BS70-BT70+BU70+BV70+BW70</f>
        <v>21202.4964414325</v>
      </c>
      <c r="BY70" s="29" t="n">
        <f aca="false">BY69+BX70</f>
        <v>157441.892442249</v>
      </c>
    </row>
    <row r="71" customFormat="false" ht="15" hidden="false" customHeight="false" outlineLevel="0" collapsed="false">
      <c r="A71" s="45" t="n">
        <v>41</v>
      </c>
      <c r="B71" s="45" t="n">
        <v>2030</v>
      </c>
      <c r="C71" s="45" t="n">
        <v>3</v>
      </c>
      <c r="D71" s="35" t="n">
        <f aca="false">ROUND(Assumptions!F$18*Assumptions!$F$7/12,0)</f>
        <v>250</v>
      </c>
      <c r="E71" s="35" t="n">
        <f aca="false">Rollout!$C$10-I70</f>
        <v>8111</v>
      </c>
      <c r="F71" s="39" t="n">
        <f aca="false">H71*$C$26+H70*$D$26+H69*$E$26+H68*$F$26+H67*$G$26+H66*$H$26+H65*$I$26+H64*$J$26+H63*$K$26+H62*$L$26+H61*$M$26+H60*$N$26</f>
        <v>10673.3998366939</v>
      </c>
      <c r="G71" s="39" t="n">
        <f aca="false">BY70-Assumptions!$C$110-F70-Assumptions!$C$111*(Assumptions!$C$100+Assumptions!F$98/12+BC70)</f>
        <v>18226.2092488761</v>
      </c>
      <c r="H71" s="35" t="n">
        <f aca="false">IF(BE70&gt;0,0,MAX(0,MIN(D71,E71,INT(G71/$C$27))))</f>
        <v>86</v>
      </c>
      <c r="I71" s="35" t="n">
        <f aca="false">I70+H71</f>
        <v>408</v>
      </c>
      <c r="J71" s="35" t="n">
        <f aca="false">SUM(H60:H71)</f>
        <v>302</v>
      </c>
      <c r="K71" s="35" t="n">
        <f aca="false">H71*$C$23+H70*$D$23+H69*$E$23+H68*$F$23+H67*$G$23+H66*$H$23+H65*$I$23+H64*$J$23+H63*$K$23+H62*$L$23+H61*$M$23+H60*$N$23</f>
        <v>287.9996</v>
      </c>
      <c r="L71" s="35" t="n">
        <f aca="false">SUM(H48:H59)</f>
        <v>73</v>
      </c>
      <c r="M71" s="35" t="n">
        <f aca="false">SUM(H36:H47)</f>
        <v>19</v>
      </c>
      <c r="N71" s="35" t="n">
        <f aca="false">SUM(H31:H35)</f>
        <v>14</v>
      </c>
      <c r="O71" s="35" t="n">
        <f aca="false">0</f>
        <v>0</v>
      </c>
      <c r="P71" s="35" t="n">
        <f aca="false">J71*$C$6+L71*$D$6+M71*$E$6+N71*$F$6+O71*$G$6</f>
        <v>404.02</v>
      </c>
      <c r="Q71" s="39" t="n">
        <f aca="false">K71*$C$7+L71*$D$7+M71*$E$7+N71*$F$7+O71*$G$7</f>
        <v>33032.4817984</v>
      </c>
      <c r="R71" s="39" t="n">
        <f aca="false">K71*$C$8+L71*$D$8+M71*$E$8+N71*$F$8+O71*$G$8</f>
        <v>21885.024140928</v>
      </c>
      <c r="S71" s="39" t="n">
        <f aca="false">K71*$C$9+L71*$D$9+M71*$E$9+N71*$F$9+O71*$G$9</f>
        <v>9345.798</v>
      </c>
      <c r="T71" s="39" t="n">
        <f aca="false">K71*$C$10+L71*$D$10+M71*$E$10+N71*$F$10+O71*$G$10</f>
        <v>14031.0388386</v>
      </c>
      <c r="U71" s="39" t="n">
        <f aca="false">K71*$C$11+L71*$D$11+M71*$E$11+N71*$F$11+O71*$G$11</f>
        <v>14062.4316</v>
      </c>
      <c r="V71" s="39" t="n">
        <f aca="false">K71*$C$12+L71*$D$12+M71*$E$12+N71*$F$12+O71*$G$12</f>
        <v>3892.316736</v>
      </c>
      <c r="W71" s="39" t="n">
        <f aca="false">SUM(Q71:V71)</f>
        <v>96249.091113928</v>
      </c>
      <c r="X71" s="39" t="n">
        <f aca="false">J71*$C$14+L71*$D$14+M71*$E$14+N71*$F$14+O71*$G$14</f>
        <v>12854.2329833333</v>
      </c>
      <c r="Y71" s="39" t="n">
        <f aca="false">J71*$C$15+L71*$D$15+M71*$E$15+N71*$F$15+O71*$G$15</f>
        <v>10100.5</v>
      </c>
      <c r="Z71" s="39" t="n">
        <f aca="false">K71*$C$16+L71*$D$16+M71*$E$16+N71*$F$16+O71*$G$16</f>
        <v>186.56903062</v>
      </c>
      <c r="AA71" s="39" t="n">
        <f aca="false">K71*$C$17+L71*$D$17+M71*$E$17+N71*$F$17+O71*$G$17</f>
        <v>2611.33254778611</v>
      </c>
      <c r="AB71" s="39" t="n">
        <f aca="false">J71*$C$18+L71*$D$18+M71*$E$18+N71*$F$18+O71*$G$18</f>
        <v>170.033333333333</v>
      </c>
      <c r="AC71" s="39" t="n">
        <f aca="false">H71*Assumptions!$C$67*Assumptions!$F$10</f>
        <v>1290</v>
      </c>
      <c r="AD71" s="39" t="n">
        <f aca="false">SUM(X71:AC71)</f>
        <v>27212.6678950728</v>
      </c>
      <c r="AE71" s="35" t="n">
        <f aca="false">K71*$C$20+L71*$D$20+M71*$E$20+N71*$F$20+O71*$G$20</f>
        <v>74627.612248</v>
      </c>
      <c r="AF71" s="35" t="n">
        <f aca="false">K71*$C$21+L71*$D$21+M71*$E$21+N71*$F$21+O71*$G$21</f>
        <v>4287381.1232</v>
      </c>
      <c r="AG71" s="35" t="n">
        <f aca="false">K71*$C$22+L71*$D$22+M71*$E$22+N71*$F$22+O71*$G$22</f>
        <v>3490.151585152</v>
      </c>
      <c r="AH71" s="37" t="n">
        <f aca="false">P71/Assumptions!$C$76</f>
        <v>0.40402</v>
      </c>
      <c r="AI71" s="37" t="n">
        <f aca="false">P71/Assumptions!$C$77</f>
        <v>0.40402</v>
      </c>
      <c r="AJ71" s="37" t="n">
        <f aca="false">P71/Assumptions!$C$78</f>
        <v>3.36683333333333</v>
      </c>
      <c r="AK71" s="37" t="n">
        <f aca="false">H71/(Assumptions!$C$19/12)</f>
        <v>2.58</v>
      </c>
      <c r="AL71" s="37" t="n">
        <f aca="false">Assumptions!F$92</f>
        <v>1</v>
      </c>
      <c r="AM71" s="37" t="n">
        <f aca="false">Assumptions!F$93</f>
        <v>4</v>
      </c>
      <c r="AN71" s="37" t="n">
        <f aca="false">Assumptions!F$94</f>
        <v>1</v>
      </c>
      <c r="AO71" s="37" t="n">
        <f aca="false">SUM(AH71:AN71)</f>
        <v>12.7548733333333</v>
      </c>
      <c r="AP71" s="39" t="n">
        <f aca="false">AH71*Assumptions!$C$85*(1+Assumptions!$C$73)*(1+Assumptions!$C$74)^3/12</f>
        <v>3219.15097685417</v>
      </c>
      <c r="AQ71" s="39" t="n">
        <f aca="false">AI71*Assumptions!$C$86*(1+Assumptions!$C$73)*(1+Assumptions!$C$74)^3/12</f>
        <v>2989.21162136458</v>
      </c>
      <c r="AR71" s="39" t="n">
        <f aca="false">AJ71*Assumptions!$C$87*(1+Assumptions!$C$73)*(1+Assumptions!$C$74)^3/12</f>
        <v>21077.7742532118</v>
      </c>
      <c r="AS71" s="39" t="n">
        <f aca="false">AK71*Assumptions!$C$85*(1+Assumptions!$C$73)*(1+Assumptions!$C$74)^3/12</f>
        <v>20556.9266875</v>
      </c>
      <c r="AT71" s="39" t="n">
        <f aca="false">AL71*Assumptions!$C$83*(1+Assumptions!$C$73)*(1+Assumptions!$C$74)^3/12</f>
        <v>18212.1166666667</v>
      </c>
      <c r="AU71" s="39" t="n">
        <f aca="false">AM71*Assumptions!$C$84*(1+Assumptions!$C$73)*(1+Assumptions!$C$74)^3/12</f>
        <v>77401.4958333333</v>
      </c>
      <c r="AV71" s="39" t="n">
        <f aca="false">AN71*Assumptions!$C$88*(1+Assumptions!$C$73)*(1+Assumptions!$C$74)^3/12</f>
        <v>12520.8302083333</v>
      </c>
      <c r="AW71" s="39" t="n">
        <f aca="false">SUM(AP71:AV71)</f>
        <v>155977.506247264</v>
      </c>
      <c r="AX71" s="39" t="n">
        <f aca="false">MIN(Assumptions!$C$80*W70,MAX(0,BS70+BC70))</f>
        <v>34285.8114201944</v>
      </c>
      <c r="AY71" s="39" t="n">
        <f aca="false">IF(SUM(AH71:AK71)&lt;=0,0,MIN(AX71,SUM(AP71:AS71)*MAX(0,1-Assumptions!$C$79/SUM(AH71:AK71))))</f>
        <v>33677.5681467849</v>
      </c>
      <c r="AZ71" s="36" t="n">
        <f aca="false">IF(SUM(AP71:AS71)=0,0,AY71/SUM(AP71:AS71))</f>
        <v>0.703917467981142</v>
      </c>
      <c r="BA71" s="39" t="n">
        <f aca="false">MIN(AX71-AY71,SUM(AT71:AV71))</f>
        <v>608.243273409527</v>
      </c>
      <c r="BB71" s="36" t="n">
        <f aca="false">IF(SUM(AT71:AV71)=0,0,BA71/SUM(AT71:AV71))</f>
        <v>0.0056248800860806</v>
      </c>
      <c r="BC71" s="39" t="n">
        <f aca="false">AY71+BA71</f>
        <v>34285.8114201944</v>
      </c>
      <c r="BD71" s="37" t="n">
        <f aca="false">SUM(AH71:AK71)*AZ71+SUM(AL71:AN71)*BB71</f>
        <v>4.78862261384982</v>
      </c>
      <c r="BE71" s="37" t="n">
        <f aca="false">MAX(0,SUM(AH71:AK71)*(1-AZ71)-Assumptions!$C$79)</f>
        <v>0</v>
      </c>
      <c r="BF71" s="39" t="n">
        <f aca="false">AP71*AZ71</f>
        <v>2266.0166046762</v>
      </c>
      <c r="BG71" s="39" t="n">
        <f aca="false">AQ71*AZ71</f>
        <v>2104.15827577076</v>
      </c>
      <c r="BH71" s="39" t="n">
        <f aca="false">AR71*AZ71</f>
        <v>14837.013482999</v>
      </c>
      <c r="BI71" s="39" t="n">
        <f aca="false">AS71*AZ71</f>
        <v>14470.379783339</v>
      </c>
      <c r="BJ71" s="39" t="n">
        <f aca="false">AT71*BB71</f>
        <v>102.44097236371</v>
      </c>
      <c r="BK71" s="39" t="n">
        <f aca="false">AU71*BB71</f>
        <v>435.374132545767</v>
      </c>
      <c r="BL71" s="39" t="n">
        <f aca="false">AV71*BB71</f>
        <v>70.4281685000505</v>
      </c>
      <c r="BM71" s="39" t="n">
        <f aca="false">H71*(Assumptions!$C$68+Assumptions!$C$66)*Assumptions!$F$10</f>
        <v>2150</v>
      </c>
      <c r="BN71" s="39" t="n">
        <f aca="false">K71*$C$19+L71*$D$19+M71*$E$19+N71*$F$19+O71*$G$19</f>
        <v>0</v>
      </c>
      <c r="BO71" s="39" t="n">
        <f aca="false">Assumptions!$C$99*W71</f>
        <v>1924.98182227856</v>
      </c>
      <c r="BP71" s="39" t="n">
        <f aca="false">Assumptions!F$98/12+P71*Assumptions!$C$101/12</f>
        <v>4366.83333333333</v>
      </c>
      <c r="BQ71" s="39" t="n">
        <f aca="false">BD71*Assumptions!$C$102/12+Assumptions!$C$100</f>
        <v>1297.15565346245</v>
      </c>
      <c r="BR71" s="39" t="n">
        <f aca="false">SUM(BF71:BQ71)</f>
        <v>44024.7822292688</v>
      </c>
      <c r="BS71" s="39" t="n">
        <f aca="false">W71-AD71-BR71</f>
        <v>25011.6409895865</v>
      </c>
      <c r="BT71" s="39" t="n">
        <f aca="false">MAX(0,BD71-BD70)*Assumptions!$C$103</f>
        <v>3995.51774870417</v>
      </c>
      <c r="BU71" s="39" t="n">
        <f aca="false">0</f>
        <v>0</v>
      </c>
      <c r="BV71" s="39" t="n">
        <f aca="false">-(W71-W70)*12*Assumptions!$C$108</f>
        <v>-3792.44252283912</v>
      </c>
      <c r="BW71" s="39" t="n">
        <f aca="false">0</f>
        <v>0</v>
      </c>
      <c r="BX71" s="39" t="n">
        <f aca="false">BS71-BT71+BU71+BV71+BW71</f>
        <v>17223.6807180432</v>
      </c>
      <c r="BY71" s="29" t="n">
        <f aca="false">BY70+BX71</f>
        <v>174665.573160292</v>
      </c>
    </row>
    <row r="72" customFormat="false" ht="15" hidden="false" customHeight="false" outlineLevel="0" collapsed="false">
      <c r="A72" s="45" t="n">
        <v>42</v>
      </c>
      <c r="B72" s="45" t="n">
        <v>2030</v>
      </c>
      <c r="C72" s="45" t="n">
        <v>3</v>
      </c>
      <c r="D72" s="35" t="n">
        <f aca="false">ROUND(Assumptions!F$18*Assumptions!$F$7/12,0)</f>
        <v>250</v>
      </c>
      <c r="E72" s="35" t="n">
        <f aca="false">Rollout!$C$10-I71</f>
        <v>8025</v>
      </c>
      <c r="F72" s="39" t="n">
        <f aca="false">H72*$C$26+H71*$D$26+H70*$E$26+H69*$F$26+H68*$G$26+H67*$H$26+H66*$I$26+H65*$J$26+H64*$K$26+H63*$L$26+H62*$M$26+H61*$N$26</f>
        <v>15622.6242769231</v>
      </c>
      <c r="G72" s="39" t="n">
        <f aca="false">BY71-Assumptions!$C$110-F71-Assumptions!$C$111*(Assumptions!$C$100+Assumptions!F$98/12+BC71)</f>
        <v>21448.9276428207</v>
      </c>
      <c r="H72" s="35" t="n">
        <f aca="false">IF(BE71&gt;0,0,MAX(0,MIN(D72,E72,INT(G72/$C$27))))</f>
        <v>101</v>
      </c>
      <c r="I72" s="35" t="n">
        <f aca="false">I71+H72</f>
        <v>509</v>
      </c>
      <c r="J72" s="35" t="n">
        <f aca="false">SUM(H61:H72)</f>
        <v>368</v>
      </c>
      <c r="K72" s="35" t="n">
        <f aca="false">H72*$C$23+H71*$D$23+H70*$E$23+H69*$F$23+H68*$G$23+H67*$H$23+H66*$I$23+H65*$J$23+H64*$K$23+H63*$L$23+H62*$M$23+H61*$N$23</f>
        <v>266.5427</v>
      </c>
      <c r="L72" s="35" t="n">
        <f aca="false">SUM(H49:H60)</f>
        <v>108</v>
      </c>
      <c r="M72" s="35" t="n">
        <f aca="false">SUM(H37:H48)</f>
        <v>19</v>
      </c>
      <c r="N72" s="35" t="n">
        <f aca="false">SUM(H31:H36)</f>
        <v>14</v>
      </c>
      <c r="O72" s="35" t="n">
        <f aca="false">0</f>
        <v>0</v>
      </c>
      <c r="P72" s="35" t="n">
        <f aca="false">J72*$C$6+L72*$D$6+M72*$E$6+N72*$F$6+O72*$G$6</f>
        <v>503.97</v>
      </c>
      <c r="Q72" s="39" t="n">
        <f aca="false">K72*$C$7+L72*$D$7+M72*$E$7+N72*$F$7+O72*$G$7</f>
        <v>36967.2416848</v>
      </c>
      <c r="R72" s="39" t="n">
        <f aca="false">K72*$C$8+L72*$D$8+M72*$E$8+N72*$F$8+O72*$G$8</f>
        <v>24680.424951936</v>
      </c>
      <c r="S72" s="39" t="n">
        <f aca="false">K72*$C$9+L72*$D$9+M72*$E$9+N72*$F$9+O72*$G$9</f>
        <v>11227.986</v>
      </c>
      <c r="T72" s="39" t="n">
        <f aca="false">K72*$C$10+L72*$D$10+M72*$E$10+N72*$F$10+O72*$G$10</f>
        <v>16308.21654945</v>
      </c>
      <c r="U72" s="39" t="n">
        <f aca="false">K72*$C$11+L72*$D$11+M72*$E$11+N72*$F$11+O72*$G$11</f>
        <v>15750.6867</v>
      </c>
      <c r="V72" s="39" t="n">
        <f aca="false">K72*$C$12+L72*$D$12+M72*$E$12+N72*$F$12+O72*$G$12</f>
        <v>3892.316736</v>
      </c>
      <c r="W72" s="39" t="n">
        <f aca="false">SUM(Q72:V72)</f>
        <v>108826.872622186</v>
      </c>
      <c r="X72" s="39" t="n">
        <f aca="false">J72*$C$14+L72*$D$14+M72*$E$14+N72*$F$14+O72*$G$14</f>
        <v>16034.225525</v>
      </c>
      <c r="Y72" s="39" t="n">
        <f aca="false">J72*$C$15+L72*$D$15+M72*$E$15+N72*$F$15+O72*$G$15</f>
        <v>12599.25</v>
      </c>
      <c r="Z72" s="39" t="n">
        <f aca="false">K72*$C$16+L72*$D$16+M72*$E$16+N72*$F$16+O72*$G$16</f>
        <v>207.530274315</v>
      </c>
      <c r="AA72" s="39" t="n">
        <f aca="false">K72*$C$17+L72*$D$17+M72*$E$17+N72*$F$17+O72*$G$17</f>
        <v>2929.30559717254</v>
      </c>
      <c r="AB72" s="39" t="n">
        <f aca="false">J72*$C$18+L72*$D$18+M72*$E$18+N72*$F$18+O72*$G$18</f>
        <v>226.616666666667</v>
      </c>
      <c r="AC72" s="39" t="n">
        <f aca="false">H72*Assumptions!$C$67*Assumptions!$F$10</f>
        <v>1515</v>
      </c>
      <c r="AD72" s="39" t="n">
        <f aca="false">SUM(X72:AC72)</f>
        <v>33511.9280631542</v>
      </c>
      <c r="AE72" s="35" t="n">
        <f aca="false">K72*$C$20+L72*$D$20+M72*$E$20+N72*$F$20+O72*$G$20</f>
        <v>83012.109726</v>
      </c>
      <c r="AF72" s="35" t="n">
        <f aca="false">K72*$C$21+L72*$D$21+M72*$E$21+N72*$F$21+O72*$G$21</f>
        <v>4663198.6884</v>
      </c>
      <c r="AG72" s="35" t="n">
        <f aca="false">K72*$C$22+L72*$D$22+M72*$E$22+N72*$F$22+O72*$G$22</f>
        <v>3918.491549024</v>
      </c>
      <c r="AH72" s="37" t="n">
        <f aca="false">P72/Assumptions!$C$76</f>
        <v>0.50397</v>
      </c>
      <c r="AI72" s="37" t="n">
        <f aca="false">P72/Assumptions!$C$77</f>
        <v>0.50397</v>
      </c>
      <c r="AJ72" s="37" t="n">
        <f aca="false">P72/Assumptions!$C$78</f>
        <v>4.19975</v>
      </c>
      <c r="AK72" s="37" t="n">
        <f aca="false">H72/(Assumptions!$C$19/12)</f>
        <v>3.03</v>
      </c>
      <c r="AL72" s="37" t="n">
        <f aca="false">Assumptions!F$92</f>
        <v>1</v>
      </c>
      <c r="AM72" s="37" t="n">
        <f aca="false">Assumptions!F$93</f>
        <v>4</v>
      </c>
      <c r="AN72" s="37" t="n">
        <f aca="false">Assumptions!F$94</f>
        <v>1</v>
      </c>
      <c r="AO72" s="37" t="n">
        <f aca="false">SUM(AH72:AN72)</f>
        <v>14.23769</v>
      </c>
      <c r="AP72" s="39" t="n">
        <f aca="false">AH72*Assumptions!$C$85*(1+Assumptions!$C$73)*(1+Assumptions!$C$74)^3/12</f>
        <v>4015.53269096875</v>
      </c>
      <c r="AQ72" s="39" t="n">
        <f aca="false">AI72*Assumptions!$C$86*(1+Assumptions!$C$73)*(1+Assumptions!$C$74)^3/12</f>
        <v>3728.70892732813</v>
      </c>
      <c r="AR72" s="39" t="n">
        <f aca="false">AJ72*Assumptions!$C$87*(1+Assumptions!$C$73)*(1+Assumptions!$C$74)^3/12</f>
        <v>26292.178333724</v>
      </c>
      <c r="AS72" s="39" t="n">
        <f aca="false">AK72*Assumptions!$C$85*(1+Assumptions!$C$73)*(1+Assumptions!$C$74)^3/12</f>
        <v>24142.43715625</v>
      </c>
      <c r="AT72" s="39" t="n">
        <f aca="false">AL72*Assumptions!$C$83*(1+Assumptions!$C$73)*(1+Assumptions!$C$74)^3/12</f>
        <v>18212.1166666667</v>
      </c>
      <c r="AU72" s="39" t="n">
        <f aca="false">AM72*Assumptions!$C$84*(1+Assumptions!$C$73)*(1+Assumptions!$C$74)^3/12</f>
        <v>77401.4958333333</v>
      </c>
      <c r="AV72" s="39" t="n">
        <f aca="false">AN72*Assumptions!$C$88*(1+Assumptions!$C$73)*(1+Assumptions!$C$74)^3/12</f>
        <v>12520.8302083333</v>
      </c>
      <c r="AW72" s="39" t="n">
        <f aca="false">SUM(AP72:AV72)</f>
        <v>166313.299816604</v>
      </c>
      <c r="AX72" s="39" t="n">
        <f aca="false">MIN(Assumptions!$C$80*W71,MAX(0,BS71+BC71))</f>
        <v>38499.6364455712</v>
      </c>
      <c r="AY72" s="39" t="n">
        <f aca="false">IF(SUM(AH72:AK72)&lt;=0,0,MIN(AX72,SUM(AP72:AS72)*MAX(0,1-Assumptions!$C$79/SUM(AH72:AK72))))</f>
        <v>38499.6364455712</v>
      </c>
      <c r="AZ72" s="36" t="n">
        <f aca="false">IF(SUM(AP72:AS72)=0,0,AY72/SUM(AP72:AS72))</f>
        <v>0.661746179955433</v>
      </c>
      <c r="BA72" s="39" t="n">
        <f aca="false">MIN(AX72-AY72,SUM(AT72:AV72))</f>
        <v>0</v>
      </c>
      <c r="BB72" s="36" t="n">
        <f aca="false">IF(SUM(AT72:AV72)=0,0,BA72/SUM(AT72:AV72))</f>
        <v>0</v>
      </c>
      <c r="BC72" s="39" t="n">
        <f aca="false">AY72+BA72</f>
        <v>38499.6364455712</v>
      </c>
      <c r="BD72" s="37" t="n">
        <f aca="false">SUM(AH72:AK72)*AZ72+SUM(AL72:AN72)*BB72</f>
        <v>5.45125988915707</v>
      </c>
      <c r="BE72" s="37" t="n">
        <f aca="false">MAX(0,SUM(AH72:AK72)*(1-AZ72)-Assumptions!$C$79)</f>
        <v>0.786430110842932</v>
      </c>
      <c r="BF72" s="39" t="n">
        <f aca="false">AP72*AZ72</f>
        <v>2657.26341873473</v>
      </c>
      <c r="BG72" s="39" t="n">
        <f aca="false">AQ72*AZ72</f>
        <v>2467.45888882511</v>
      </c>
      <c r="BH72" s="39" t="n">
        <f aca="false">AR72*AZ72</f>
        <v>17398.7485750488</v>
      </c>
      <c r="BI72" s="39" t="n">
        <f aca="false">AS72*AZ72</f>
        <v>15976.1655629625</v>
      </c>
      <c r="BJ72" s="39" t="n">
        <f aca="false">AT72*BB72</f>
        <v>0</v>
      </c>
      <c r="BK72" s="39" t="n">
        <f aca="false">AU72*BB72</f>
        <v>0</v>
      </c>
      <c r="BL72" s="39" t="n">
        <f aca="false">AV72*BB72</f>
        <v>0</v>
      </c>
      <c r="BM72" s="39" t="n">
        <f aca="false">H72*(Assumptions!$C$68+Assumptions!$C$66)*Assumptions!$F$10</f>
        <v>2525</v>
      </c>
      <c r="BN72" s="39" t="n">
        <f aca="false">K72*$C$19+L72*$D$19+M72*$E$19+N72*$F$19+O72*$G$19</f>
        <v>0</v>
      </c>
      <c r="BO72" s="39" t="n">
        <f aca="false">Assumptions!$C$99*W72</f>
        <v>2176.53745244372</v>
      </c>
      <c r="BP72" s="39" t="n">
        <f aca="false">Assumptions!F$98/12+P72*Assumptions!$C$101/12</f>
        <v>5199.75</v>
      </c>
      <c r="BQ72" s="39" t="n">
        <f aca="false">BD72*Assumptions!$C$102/12+Assumptions!$C$100</f>
        <v>1462.81497228927</v>
      </c>
      <c r="BR72" s="39" t="n">
        <f aca="false">SUM(BF72:BQ72)</f>
        <v>49863.7388703042</v>
      </c>
      <c r="BS72" s="39" t="n">
        <f aca="false">W72-AD72-BR72</f>
        <v>25451.2056887276</v>
      </c>
      <c r="BT72" s="39" t="n">
        <f aca="false">MAX(0,BD72-BD71)*Assumptions!$C$103</f>
        <v>1656.59318826812</v>
      </c>
      <c r="BU72" s="39" t="n">
        <f aca="false">0</f>
        <v>0</v>
      </c>
      <c r="BV72" s="39" t="n">
        <f aca="false">-(W72-W71)*12*Assumptions!$C$108</f>
        <v>-4528.00134297288</v>
      </c>
      <c r="BW72" s="39" t="n">
        <f aca="false">0</f>
        <v>0</v>
      </c>
      <c r="BX72" s="39" t="n">
        <f aca="false">BS72-BT72+BU72+BV72+BW72</f>
        <v>19266.6111574866</v>
      </c>
      <c r="BY72" s="29" t="n">
        <f aca="false">BY71+BX72</f>
        <v>193932.184317779</v>
      </c>
    </row>
    <row r="73" customFormat="false" ht="15" hidden="false" customHeight="false" outlineLevel="0" collapsed="false">
      <c r="A73" s="45" t="n">
        <v>43</v>
      </c>
      <c r="B73" s="45" t="n">
        <v>2030</v>
      </c>
      <c r="C73" s="45" t="n">
        <v>3</v>
      </c>
      <c r="D73" s="35" t="n">
        <f aca="false">ROUND(Assumptions!F$18*Assumptions!$F$7/12,0)</f>
        <v>250</v>
      </c>
      <c r="E73" s="35" t="n">
        <f aca="false">Rollout!$C$10-I72</f>
        <v>7924</v>
      </c>
      <c r="F73" s="39" t="n">
        <f aca="false">H73*$C$26+H72*$D$26+H71*$E$26+H70*$F$26+H69*$G$26+H68*$H$26+H67*$I$26+H66*$J$26+H65*$K$26+H64*$L$26+H63*$M$26+H62*$N$26</f>
        <v>6669.61795869159</v>
      </c>
      <c r="G73" s="39" t="n">
        <f aca="false">BY72-Assumptions!$C$110-F72-Assumptions!$C$111*(Assumptions!$C$100+Assumptions!F$98/12+BC72)</f>
        <v>18911.0142585709</v>
      </c>
      <c r="H73" s="35" t="n">
        <f aca="false">IF(BE72&gt;0,0,MAX(0,MIN(D73,E73,INT(G73/$C$27))))</f>
        <v>0</v>
      </c>
      <c r="I73" s="35" t="n">
        <f aca="false">I72+H73</f>
        <v>509</v>
      </c>
      <c r="J73" s="35" t="n">
        <f aca="false">SUM(H62:H73)</f>
        <v>335</v>
      </c>
      <c r="K73" s="35" t="n">
        <f aca="false">H73*$C$23+H72*$D$23+H71*$E$23+H70*$F$23+H69*$G$23+H68*$H$23+H67*$I$23+H66*$J$23+H65*$K$23+H64*$L$23+H63*$M$23+H62*$N$23</f>
        <v>261.4512</v>
      </c>
      <c r="L73" s="35" t="n">
        <f aca="false">SUM(H50:H61)</f>
        <v>141</v>
      </c>
      <c r="M73" s="35" t="n">
        <f aca="false">SUM(H38:H49)</f>
        <v>19</v>
      </c>
      <c r="N73" s="35" t="n">
        <f aca="false">SUM(H31:H37)</f>
        <v>14</v>
      </c>
      <c r="O73" s="35" t="n">
        <f aca="false">0</f>
        <v>0</v>
      </c>
      <c r="P73" s="35" t="n">
        <f aca="false">J73*$C$6+L73*$D$6+M73*$E$6+N73*$F$6+O73*$G$6</f>
        <v>502.98</v>
      </c>
      <c r="Q73" s="39" t="n">
        <f aca="false">K73*$C$7+L73*$D$7+M73*$E$7+N73*$F$7+O73*$G$7</f>
        <v>41418.1356288</v>
      </c>
      <c r="R73" s="39" t="n">
        <f aca="false">K73*$C$8+L73*$D$8+M73*$E$8+N73*$F$8+O73*$G$8</f>
        <v>27715.882137216</v>
      </c>
      <c r="S73" s="39" t="n">
        <f aca="false">K73*$C$9+L73*$D$9+M73*$E$9+N73*$F$9+O73*$G$9</f>
        <v>13002.6204</v>
      </c>
      <c r="T73" s="39" t="n">
        <f aca="false">K73*$C$10+L73*$D$10+M73*$E$10+N73*$F$10+O73*$G$10</f>
        <v>18593.0903592</v>
      </c>
      <c r="U73" s="39" t="n">
        <f aca="false">K73*$C$11+L73*$D$11+M73*$E$11+N73*$F$11+O73*$G$11</f>
        <v>17660.3952</v>
      </c>
      <c r="V73" s="39" t="n">
        <f aca="false">K73*$C$12+L73*$D$12+M73*$E$12+N73*$F$12+O73*$G$12</f>
        <v>3892.316736</v>
      </c>
      <c r="W73" s="39" t="n">
        <f aca="false">SUM(Q73:V73)</f>
        <v>122282.440461216</v>
      </c>
      <c r="X73" s="39" t="n">
        <f aca="false">J73*$C$14+L73*$D$14+M73*$E$14+N73*$F$14+O73*$G$14</f>
        <v>16002.72785</v>
      </c>
      <c r="Y73" s="39" t="n">
        <f aca="false">J73*$C$15+L73*$D$15+M73*$E$15+N73*$F$15+O73*$G$15</f>
        <v>12574.5</v>
      </c>
      <c r="Z73" s="39" t="n">
        <f aca="false">K73*$C$16+L73*$D$16+M73*$E$16+N73*$F$16+O73*$G$16</f>
        <v>231.88775064</v>
      </c>
      <c r="AA73" s="39" t="n">
        <f aca="false">K73*$C$17+L73*$D$17+M73*$E$17+N73*$F$17+O73*$G$17</f>
        <v>3284.34196057766</v>
      </c>
      <c r="AB73" s="39" t="n">
        <f aca="false">J73*$C$18+L73*$D$18+M73*$E$18+N73*$F$18+O73*$G$18</f>
        <v>279.966666666667</v>
      </c>
      <c r="AC73" s="39" t="n">
        <f aca="false">H73*Assumptions!$C$67*Assumptions!$F$10</f>
        <v>0</v>
      </c>
      <c r="AD73" s="39" t="n">
        <f aca="false">SUM(X73:AC73)</f>
        <v>32373.4242278843</v>
      </c>
      <c r="AE73" s="35" t="n">
        <f aca="false">K73*$C$20+L73*$D$20+M73*$E$20+N73*$F$20+O73*$G$20</f>
        <v>92755.100256</v>
      </c>
      <c r="AF73" s="35" t="n">
        <f aca="false">K73*$C$21+L73*$D$21+M73*$E$21+N73*$F$21+O73*$G$21</f>
        <v>5140048.1104</v>
      </c>
      <c r="AG73" s="35" t="n">
        <f aca="false">K73*$C$22+L73*$D$22+M73*$E$22+N73*$F$22+O73*$G$22</f>
        <v>4396.191084544</v>
      </c>
      <c r="AH73" s="37" t="n">
        <f aca="false">P73/Assumptions!$C$76</f>
        <v>0.50298</v>
      </c>
      <c r="AI73" s="37" t="n">
        <f aca="false">P73/Assumptions!$C$77</f>
        <v>0.50298</v>
      </c>
      <c r="AJ73" s="37" t="n">
        <f aca="false">P73/Assumptions!$C$78</f>
        <v>4.1915</v>
      </c>
      <c r="AK73" s="37" t="n">
        <f aca="false">H73/(Assumptions!$C$19/12)</f>
        <v>0</v>
      </c>
      <c r="AL73" s="37" t="n">
        <f aca="false">Assumptions!F$92</f>
        <v>1</v>
      </c>
      <c r="AM73" s="37" t="n">
        <f aca="false">Assumptions!F$93</f>
        <v>4</v>
      </c>
      <c r="AN73" s="37" t="n">
        <f aca="false">Assumptions!F$94</f>
        <v>1</v>
      </c>
      <c r="AO73" s="37" t="n">
        <f aca="false">SUM(AH73:AN73)</f>
        <v>11.19746</v>
      </c>
      <c r="AP73" s="39" t="n">
        <f aca="false">AH73*Assumptions!$C$85*(1+Assumptions!$C$73)*(1+Assumptions!$C$74)^3/12</f>
        <v>4007.6445679375</v>
      </c>
      <c r="AQ73" s="39" t="n">
        <f aca="false">AI73*Assumptions!$C$86*(1+Assumptions!$C$73)*(1+Assumptions!$C$74)^3/12</f>
        <v>3721.38424165625</v>
      </c>
      <c r="AR73" s="39" t="n">
        <f aca="false">AJ73*Assumptions!$C$87*(1+Assumptions!$C$73)*(1+Assumptions!$C$74)^3/12</f>
        <v>26240.5299091146</v>
      </c>
      <c r="AS73" s="39" t="n">
        <f aca="false">AK73*Assumptions!$C$85*(1+Assumptions!$C$73)*(1+Assumptions!$C$74)^3/12</f>
        <v>0</v>
      </c>
      <c r="AT73" s="39" t="n">
        <f aca="false">AL73*Assumptions!$C$83*(1+Assumptions!$C$73)*(1+Assumptions!$C$74)^3/12</f>
        <v>18212.1166666667</v>
      </c>
      <c r="AU73" s="39" t="n">
        <f aca="false">AM73*Assumptions!$C$84*(1+Assumptions!$C$73)*(1+Assumptions!$C$74)^3/12</f>
        <v>77401.4958333333</v>
      </c>
      <c r="AV73" s="39" t="n">
        <f aca="false">AN73*Assumptions!$C$88*(1+Assumptions!$C$73)*(1+Assumptions!$C$74)^3/12</f>
        <v>12520.8302083333</v>
      </c>
      <c r="AW73" s="39" t="n">
        <f aca="false">SUM(AP73:AV73)</f>
        <v>142104.001427042</v>
      </c>
      <c r="AX73" s="39" t="n">
        <f aca="false">MIN(Assumptions!$C$80*W72,MAX(0,BS72+BC72))</f>
        <v>43530.7490488744</v>
      </c>
      <c r="AY73" s="39" t="n">
        <f aca="false">IF(SUM(AH73:AK73)&lt;=0,0,MIN(AX73,SUM(AP73:AS73)*MAX(0,1-Assumptions!$C$79/SUM(AH73:AK73))))</f>
        <v>20897.9588531169</v>
      </c>
      <c r="AZ73" s="36" t="n">
        <f aca="false">IF(SUM(AP73:AS73)=0,0,AY73/SUM(AP73:AS73))</f>
        <v>0.615196653750101</v>
      </c>
      <c r="BA73" s="39" t="n">
        <f aca="false">MIN(AX73-AY73,SUM(AT73:AV73))</f>
        <v>22632.7901957575</v>
      </c>
      <c r="BB73" s="36" t="n">
        <f aca="false">IF(SUM(AT73:AV73)=0,0,BA73/SUM(AT73:AV73))</f>
        <v>0.209302324300167</v>
      </c>
      <c r="BC73" s="39" t="n">
        <f aca="false">AY73+BA73</f>
        <v>43530.7490488744</v>
      </c>
      <c r="BD73" s="37" t="n">
        <f aca="false">SUM(AH73:AK73)*AZ73+SUM(AL73:AN73)*BB73</f>
        <v>4.45327394580101</v>
      </c>
      <c r="BE73" s="37" t="n">
        <f aca="false">MAX(0,SUM(AH73:AK73)*(1-AZ73)-Assumptions!$C$79)</f>
        <v>0</v>
      </c>
      <c r="BF73" s="39" t="n">
        <f aca="false">AP73*AZ73</f>
        <v>2465.48952761492</v>
      </c>
      <c r="BG73" s="39" t="n">
        <f aca="false">AQ73*AZ73</f>
        <v>2289.38313278528</v>
      </c>
      <c r="BH73" s="39" t="n">
        <f aca="false">AR73*AZ73</f>
        <v>16143.0861927167</v>
      </c>
      <c r="BI73" s="39" t="n">
        <f aca="false">AS73*AZ73</f>
        <v>0</v>
      </c>
      <c r="BJ73" s="39" t="n">
        <f aca="false">AT73*BB73</f>
        <v>3811.83834875915</v>
      </c>
      <c r="BK73" s="39" t="n">
        <f aca="false">AU73*BB73</f>
        <v>16200.3129822264</v>
      </c>
      <c r="BL73" s="39" t="n">
        <f aca="false">AV73*BB73</f>
        <v>2620.63886477192</v>
      </c>
      <c r="BM73" s="39" t="n">
        <f aca="false">H73*(Assumptions!$C$68+Assumptions!$C$66)*Assumptions!$F$10</f>
        <v>0</v>
      </c>
      <c r="BN73" s="39" t="n">
        <f aca="false">K73*$C$19+L73*$D$19+M73*$E$19+N73*$F$19+O73*$G$19</f>
        <v>0</v>
      </c>
      <c r="BO73" s="39" t="n">
        <f aca="false">Assumptions!$C$99*W73</f>
        <v>2445.64880922432</v>
      </c>
      <c r="BP73" s="39" t="n">
        <f aca="false">Assumptions!F$98/12+P73*Assumptions!$C$101/12</f>
        <v>5191.5</v>
      </c>
      <c r="BQ73" s="39" t="n">
        <f aca="false">BD73*Assumptions!$C$102/12+Assumptions!$C$100</f>
        <v>1213.31848645025</v>
      </c>
      <c r="BR73" s="39" t="n">
        <f aca="false">SUM(BF73:BQ73)</f>
        <v>52381.216344549</v>
      </c>
      <c r="BS73" s="39" t="n">
        <f aca="false">W73-AD73-BR73</f>
        <v>37527.7998887827</v>
      </c>
      <c r="BT73" s="39" t="n">
        <f aca="false">MAX(0,BD73-BD72)*Assumptions!$C$103</f>
        <v>0</v>
      </c>
      <c r="BU73" s="39" t="n">
        <f aca="false">0</f>
        <v>0</v>
      </c>
      <c r="BV73" s="39" t="n">
        <f aca="false">-(W73-W72)*12*Assumptions!$C$108</f>
        <v>-4844.0044220508</v>
      </c>
      <c r="BW73" s="39" t="n">
        <f aca="false">0</f>
        <v>0</v>
      </c>
      <c r="BX73" s="39" t="n">
        <f aca="false">BS73-BT73+BU73+BV73+BW73</f>
        <v>32683.7954667319</v>
      </c>
      <c r="BY73" s="29" t="n">
        <f aca="false">BY72+BX73</f>
        <v>226615.979784511</v>
      </c>
    </row>
    <row r="74" customFormat="false" ht="15" hidden="false" customHeight="false" outlineLevel="0" collapsed="false">
      <c r="A74" s="45" t="n">
        <v>44</v>
      </c>
      <c r="B74" s="45" t="n">
        <v>2030</v>
      </c>
      <c r="C74" s="45" t="n">
        <v>3</v>
      </c>
      <c r="D74" s="35" t="n">
        <f aca="false">ROUND(Assumptions!F$18*Assumptions!$F$7/12,0)</f>
        <v>250</v>
      </c>
      <c r="E74" s="35" t="n">
        <f aca="false">Rollout!$C$10-I73</f>
        <v>7924</v>
      </c>
      <c r="F74" s="39" t="n">
        <f aca="false">H74*$C$26+H73*$D$26+H72*$E$26+H71*$F$26+H70*$G$26+H69*$H$26+H68*$I$26+H67*$J$26+H66*$K$26+H65*$L$26+H64*$M$26+H63*$N$26</f>
        <v>21821.6601048558</v>
      </c>
      <c r="G74" s="39" t="n">
        <f aca="false">BY73-Assumptions!$C$110-F73-Assumptions!$C$111*(Assumptions!$C$100+Assumptions!F$98/12+BC73)</f>
        <v>40423.3656303215</v>
      </c>
      <c r="H74" s="35" t="n">
        <f aca="false">IF(BE73&gt;0,0,MAX(0,MIN(D74,E74,INT(G74/$C$27))))</f>
        <v>191</v>
      </c>
      <c r="I74" s="35" t="n">
        <f aca="false">I73+H74</f>
        <v>700</v>
      </c>
      <c r="J74" s="35" t="n">
        <f aca="false">SUM(H63:H74)</f>
        <v>495</v>
      </c>
      <c r="K74" s="35" t="n">
        <f aca="false">H74*$C$23+H73*$D$23+H72*$E$23+H71*$F$23+H70*$G$23+H69*$H$23+H68*$I$23+H67*$J$23+H66*$K$23+H65*$L$23+H64*$M$23+H63*$N$23</f>
        <v>254.7285</v>
      </c>
      <c r="L74" s="35" t="n">
        <f aca="false">SUM(H51:H62)</f>
        <v>172</v>
      </c>
      <c r="M74" s="35" t="n">
        <f aca="false">SUM(H39:H50)</f>
        <v>19</v>
      </c>
      <c r="N74" s="35" t="n">
        <f aca="false">SUM(H31:H38)</f>
        <v>14</v>
      </c>
      <c r="O74" s="35" t="n">
        <f aca="false">0</f>
        <v>0</v>
      </c>
      <c r="P74" s="35" t="n">
        <f aca="false">J74*$C$6+L74*$D$6+M74*$E$6+N74*$F$6+O74*$G$6</f>
        <v>693.05</v>
      </c>
      <c r="Q74" s="39" t="n">
        <f aca="false">K74*$C$7+L74*$D$7+M74*$E$7+N74*$F$7+O74*$G$7</f>
        <v>45504.33804</v>
      </c>
      <c r="R74" s="39" t="n">
        <f aca="false">K74*$C$8+L74*$D$8+M74*$E$8+N74*$F$8+O74*$G$8</f>
        <v>30516.14724288</v>
      </c>
      <c r="S74" s="39" t="n">
        <f aca="false">K74*$C$9+L74*$D$9+M74*$E$9+N74*$F$9+O74*$G$9</f>
        <v>14669.7012</v>
      </c>
      <c r="T74" s="39" t="n">
        <f aca="false">K74*$C$10+L74*$D$10+M74*$E$10+N74*$F$10+O74*$G$10</f>
        <v>20721.82821975</v>
      </c>
      <c r="U74" s="39" t="n">
        <f aca="false">K74*$C$11+L74*$D$11+M74*$E$11+N74*$F$11+O74*$G$11</f>
        <v>19413.6285</v>
      </c>
      <c r="V74" s="39" t="n">
        <f aca="false">K74*$C$12+L74*$D$12+M74*$E$12+N74*$F$12+O74*$G$12</f>
        <v>3892.316736</v>
      </c>
      <c r="W74" s="39" t="n">
        <f aca="false">SUM(Q74:V74)</f>
        <v>134717.95993863</v>
      </c>
      <c r="X74" s="39" t="n">
        <f aca="false">J74*$C$14+L74*$D$14+M74*$E$14+N74*$F$14+O74*$G$14</f>
        <v>22049.9632916667</v>
      </c>
      <c r="Y74" s="39" t="n">
        <f aca="false">J74*$C$15+L74*$D$15+M74*$E$15+N74*$F$15+O74*$G$15</f>
        <v>17326.25</v>
      </c>
      <c r="Z74" s="39" t="n">
        <f aca="false">K74*$C$16+L74*$D$16+M74*$E$16+N74*$F$16+O74*$G$16</f>
        <v>254.180391325</v>
      </c>
      <c r="AA74" s="39" t="n">
        <f aca="false">K74*$C$17+L74*$D$17+M74*$E$17+N74*$F$17+O74*$G$17</f>
        <v>3610.78401737952</v>
      </c>
      <c r="AB74" s="39" t="n">
        <f aca="false">J74*$C$18+L74*$D$18+M74*$E$18+N74*$F$18+O74*$G$18</f>
        <v>330.083333333333</v>
      </c>
      <c r="AC74" s="39" t="n">
        <f aca="false">H74*Assumptions!$C$67*Assumptions!$F$10</f>
        <v>2865</v>
      </c>
      <c r="AD74" s="39" t="n">
        <f aca="false">SUM(X74:AC74)</f>
        <v>46436.2610337045</v>
      </c>
      <c r="AE74" s="35" t="n">
        <f aca="false">K74*$C$20+L74*$D$20+M74*$E$20+N74*$F$20+O74*$G$20</f>
        <v>101672.15653</v>
      </c>
      <c r="AF74" s="35" t="n">
        <f aca="false">K74*$C$21+L74*$D$21+M74*$E$21+N74*$F$21+O74*$G$21</f>
        <v>5572300.902</v>
      </c>
      <c r="AG74" s="35" t="n">
        <f aca="false">K74*$C$22+L74*$D$22+M74*$E$22+N74*$F$22+O74*$G$22</f>
        <v>4835.47861392</v>
      </c>
      <c r="AH74" s="37" t="n">
        <f aca="false">P74/Assumptions!$C$76</f>
        <v>0.69305</v>
      </c>
      <c r="AI74" s="37" t="n">
        <f aca="false">P74/Assumptions!$C$77</f>
        <v>0.69305</v>
      </c>
      <c r="AJ74" s="37" t="n">
        <f aca="false">P74/Assumptions!$C$78</f>
        <v>5.77541666666667</v>
      </c>
      <c r="AK74" s="37" t="n">
        <f aca="false">H74/(Assumptions!$C$19/12)</f>
        <v>5.73</v>
      </c>
      <c r="AL74" s="37" t="n">
        <f aca="false">Assumptions!F$92</f>
        <v>1</v>
      </c>
      <c r="AM74" s="37" t="n">
        <f aca="false">Assumptions!F$93</f>
        <v>4</v>
      </c>
      <c r="AN74" s="37" t="n">
        <f aca="false">Assumptions!F$94</f>
        <v>1</v>
      </c>
      <c r="AO74" s="37" t="n">
        <f aca="false">SUM(AH74:AN74)</f>
        <v>18.8915166666667</v>
      </c>
      <c r="AP74" s="39" t="n">
        <f aca="false">AH74*Assumptions!$C$85*(1+Assumptions!$C$73)*(1+Assumptions!$C$74)^3/12</f>
        <v>5522.08451192708</v>
      </c>
      <c r="AQ74" s="39" t="n">
        <f aca="false">AI74*Assumptions!$C$86*(1+Assumptions!$C$73)*(1+Assumptions!$C$74)^3/12</f>
        <v>5127.64990393229</v>
      </c>
      <c r="AR74" s="39" t="n">
        <f aca="false">AJ74*Assumptions!$C$87*(1+Assumptions!$C$73)*(1+Assumptions!$C$74)^3/12</f>
        <v>36156.5057328559</v>
      </c>
      <c r="AS74" s="39" t="n">
        <f aca="false">AK74*Assumptions!$C$85*(1+Assumptions!$C$73)*(1+Assumptions!$C$74)^3/12</f>
        <v>45655.49996875</v>
      </c>
      <c r="AT74" s="39" t="n">
        <f aca="false">AL74*Assumptions!$C$83*(1+Assumptions!$C$73)*(1+Assumptions!$C$74)^3/12</f>
        <v>18212.1166666667</v>
      </c>
      <c r="AU74" s="39" t="n">
        <f aca="false">AM74*Assumptions!$C$84*(1+Assumptions!$C$73)*(1+Assumptions!$C$74)^3/12</f>
        <v>77401.4958333333</v>
      </c>
      <c r="AV74" s="39" t="n">
        <f aca="false">AN74*Assumptions!$C$88*(1+Assumptions!$C$73)*(1+Assumptions!$C$74)^3/12</f>
        <v>12520.8302083333</v>
      </c>
      <c r="AW74" s="39" t="n">
        <f aca="false">SUM(AP74:AV74)</f>
        <v>200596.182825799</v>
      </c>
      <c r="AX74" s="39" t="n">
        <f aca="false">MIN(Assumptions!$C$80*W73,MAX(0,BS73+BC73))</f>
        <v>48912.9761844864</v>
      </c>
      <c r="AY74" s="39" t="n">
        <f aca="false">IF(SUM(AH74:AK74)&lt;=0,0,MIN(AX74,SUM(AP74:AS74)*MAX(0,1-Assumptions!$C$79/SUM(AH74:AK74))))</f>
        <v>48912.9761844864</v>
      </c>
      <c r="AZ74" s="36" t="n">
        <f aca="false">IF(SUM(AP74:AS74)=0,0,AY74/SUM(AP74:AS74))</f>
        <v>0.5290077400917</v>
      </c>
      <c r="BA74" s="39" t="n">
        <f aca="false">MIN(AX74-AY74,SUM(AT74:AV74))</f>
        <v>0</v>
      </c>
      <c r="BB74" s="36" t="n">
        <f aca="false">IF(SUM(AT74:AV74)=0,0,BA74/SUM(AT74:AV74))</f>
        <v>0</v>
      </c>
      <c r="BC74" s="39" t="n">
        <f aca="false">AY74+BA74</f>
        <v>48912.9761844864</v>
      </c>
      <c r="BD74" s="37" t="n">
        <f aca="false">SUM(AH74:AK74)*AZ74+SUM(AL74:AN74)*BB74</f>
        <v>6.81971209818782</v>
      </c>
      <c r="BE74" s="37" t="n">
        <f aca="false">MAX(0,SUM(AH74:AK74)*(1-AZ74)-Assumptions!$C$79)</f>
        <v>4.07180456847885</v>
      </c>
      <c r="BF74" s="39" t="n">
        <f aca="false">AP74*AZ74</f>
        <v>2921.22544824992</v>
      </c>
      <c r="BG74" s="39" t="n">
        <f aca="false">AQ74*AZ74</f>
        <v>2712.56648766064</v>
      </c>
      <c r="BH74" s="39" t="n">
        <f aca="false">AR74*AZ74</f>
        <v>19127.0713873507</v>
      </c>
      <c r="BI74" s="39" t="n">
        <f aca="false">AS74*AZ74</f>
        <v>24152.1128612251</v>
      </c>
      <c r="BJ74" s="39" t="n">
        <f aca="false">AT74*BB74</f>
        <v>0</v>
      </c>
      <c r="BK74" s="39" t="n">
        <f aca="false">AU74*BB74</f>
        <v>0</v>
      </c>
      <c r="BL74" s="39" t="n">
        <f aca="false">AV74*BB74</f>
        <v>0</v>
      </c>
      <c r="BM74" s="39" t="n">
        <f aca="false">H74*(Assumptions!$C$68+Assumptions!$C$66)*Assumptions!$F$10</f>
        <v>4775</v>
      </c>
      <c r="BN74" s="39" t="n">
        <f aca="false">K74*$C$19+L74*$D$19+M74*$E$19+N74*$F$19+O74*$G$19</f>
        <v>0</v>
      </c>
      <c r="BO74" s="39" t="n">
        <f aca="false">Assumptions!$C$99*W74</f>
        <v>2694.3591987726</v>
      </c>
      <c r="BP74" s="39" t="n">
        <f aca="false">Assumptions!F$98/12+P74*Assumptions!$C$101/12</f>
        <v>6775.41666666667</v>
      </c>
      <c r="BQ74" s="39" t="n">
        <f aca="false">BD74*Assumptions!$C$102/12+Assumptions!$C$100</f>
        <v>1804.92802454696</v>
      </c>
      <c r="BR74" s="39" t="n">
        <f aca="false">SUM(BF74:BQ74)</f>
        <v>64962.6800744726</v>
      </c>
      <c r="BS74" s="39" t="n">
        <f aca="false">W74-AD74-BR74</f>
        <v>23319.0188304529</v>
      </c>
      <c r="BT74" s="39" t="n">
        <f aca="false">MAX(0,BD74-BD73)*Assumptions!$C$103</f>
        <v>5916.09538096704</v>
      </c>
      <c r="BU74" s="39" t="n">
        <f aca="false">0</f>
        <v>0</v>
      </c>
      <c r="BV74" s="39" t="n">
        <f aca="false">-(W74-W73)*12*Assumptions!$C$108</f>
        <v>-4476.78701186904</v>
      </c>
      <c r="BW74" s="39" t="n">
        <f aca="false">0</f>
        <v>0</v>
      </c>
      <c r="BX74" s="39" t="n">
        <f aca="false">BS74-BT74+BU74+BV74+BW74</f>
        <v>12926.1364376168</v>
      </c>
      <c r="BY74" s="29" t="n">
        <f aca="false">BY73+BX74</f>
        <v>239542.116222127</v>
      </c>
    </row>
    <row r="75" customFormat="false" ht="15" hidden="false" customHeight="false" outlineLevel="0" collapsed="false">
      <c r="A75" s="45" t="n">
        <v>45</v>
      </c>
      <c r="B75" s="45" t="n">
        <v>2030</v>
      </c>
      <c r="C75" s="45" t="n">
        <v>3</v>
      </c>
      <c r="D75" s="35" t="n">
        <f aca="false">ROUND(Assumptions!F$18*Assumptions!$F$7/12,0)</f>
        <v>250</v>
      </c>
      <c r="E75" s="35" t="n">
        <f aca="false">Rollout!$C$10-I74</f>
        <v>7733</v>
      </c>
      <c r="F75" s="39" t="n">
        <f aca="false">H75*$C$26+H74*$D$26+H73*$E$26+H72*$F$26+H71*$G$26+H70*$H$26+H69*$I$26+H68*$J$26+H67*$K$26+H66*$L$26+H65*$M$26+H64*$N$26</f>
        <v>9899.34937360066</v>
      </c>
      <c r="G75" s="39" t="n">
        <f aca="false">BY74-Assumptions!$C$110-F74-Assumptions!$C$111*(Assumptions!$C$100+Assumptions!F$98/12+BC74)</f>
        <v>16668.5513793261</v>
      </c>
      <c r="H75" s="35" t="n">
        <f aca="false">IF(BE74&gt;0,0,MAX(0,MIN(D75,E75,INT(G75/$C$27))))</f>
        <v>0</v>
      </c>
      <c r="I75" s="35" t="n">
        <f aca="false">I74+H75</f>
        <v>700</v>
      </c>
      <c r="J75" s="35" t="n">
        <f aca="false">SUM(H64:H75)</f>
        <v>470</v>
      </c>
      <c r="K75" s="35" t="n">
        <f aca="false">H75*$C$23+H74*$D$23+H73*$E$23+H72*$F$23+H71*$G$23+H70*$H$23+H69*$I$23+H68*$J$23+H67*$K$23+H66*$L$23+H65*$M$23+H64*$N$23</f>
        <v>290.1859</v>
      </c>
      <c r="L75" s="35" t="n">
        <f aca="false">SUM(H52:H63)</f>
        <v>189</v>
      </c>
      <c r="M75" s="35" t="n">
        <f aca="false">SUM(H40:H51)</f>
        <v>27</v>
      </c>
      <c r="N75" s="35" t="n">
        <f aca="false">SUM(H31:H39)</f>
        <v>14</v>
      </c>
      <c r="O75" s="35" t="n">
        <f aca="false">0</f>
        <v>0</v>
      </c>
      <c r="P75" s="35" t="n">
        <f aca="false">J75*$C$6+L75*$D$6+M75*$E$6+N75*$F$6+O75*$G$6</f>
        <v>692.14</v>
      </c>
      <c r="Q75" s="39" t="n">
        <f aca="false">K75*$C$7+L75*$D$7+M75*$E$7+N75*$F$7+O75*$G$7</f>
        <v>51520.8967056</v>
      </c>
      <c r="R75" s="39" t="n">
        <f aca="false">K75*$C$8+L75*$D$8+M75*$E$8+N75*$F$8+O75*$G$8</f>
        <v>34590.717587712</v>
      </c>
      <c r="S75" s="39" t="n">
        <f aca="false">K75*$C$9+L75*$D$9+M75*$E$9+N75*$F$9+O75*$G$9</f>
        <v>16637.2668</v>
      </c>
      <c r="T75" s="39" t="n">
        <f aca="false">K75*$C$10+L75*$D$10+M75*$E$10+N75*$F$10+O75*$G$10</f>
        <v>23490.90718065</v>
      </c>
      <c r="U75" s="39" t="n">
        <f aca="false">K75*$C$11+L75*$D$11+M75*$E$11+N75*$F$11+O75*$G$11</f>
        <v>21995.1039</v>
      </c>
      <c r="V75" s="39" t="n">
        <f aca="false">K75*$C$12+L75*$D$12+M75*$E$12+N75*$F$12+O75*$G$12</f>
        <v>4777.905216</v>
      </c>
      <c r="W75" s="39" t="n">
        <f aca="false">SUM(Q75:V75)</f>
        <v>153012.797389962</v>
      </c>
      <c r="X75" s="39" t="n">
        <f aca="false">J75*$C$14+L75*$D$14+M75*$E$14+N75*$F$14+O75*$G$14</f>
        <v>22021.0108833333</v>
      </c>
      <c r="Y75" s="39" t="n">
        <f aca="false">J75*$C$15+L75*$D$15+M75*$E$15+N75*$F$15+O75*$G$15</f>
        <v>17303.5</v>
      </c>
      <c r="Z75" s="39" t="n">
        <f aca="false">K75*$C$16+L75*$D$16+M75*$E$16+N75*$F$16+O75*$G$16</f>
        <v>287.508527355</v>
      </c>
      <c r="AA75" s="39" t="n">
        <f aca="false">K75*$C$17+L75*$D$17+M75*$E$17+N75*$F$17+O75*$G$17</f>
        <v>4089.65813148845</v>
      </c>
      <c r="AB75" s="39" t="n">
        <f aca="false">J75*$C$18+L75*$D$18+M75*$E$18+N75*$F$18+O75*$G$18</f>
        <v>370.233333333333</v>
      </c>
      <c r="AC75" s="39" t="n">
        <f aca="false">H75*Assumptions!$C$67*Assumptions!$F$10</f>
        <v>0</v>
      </c>
      <c r="AD75" s="39" t="n">
        <f aca="false">SUM(X75:AC75)</f>
        <v>44071.9108755101</v>
      </c>
      <c r="AE75" s="35" t="n">
        <f aca="false">K75*$C$20+L75*$D$20+M75*$E$20+N75*$F$20+O75*$G$20</f>
        <v>115003.410942</v>
      </c>
      <c r="AF75" s="35" t="n">
        <f aca="false">K75*$C$21+L75*$D$21+M75*$E$21+N75*$F$21+O75*$G$21</f>
        <v>6310593.9428</v>
      </c>
      <c r="AG75" s="35" t="n">
        <f aca="false">K75*$C$22+L75*$D$22+M75*$E$22+N75*$F$22+O75*$G$22</f>
        <v>5476.124256608</v>
      </c>
      <c r="AH75" s="37" t="n">
        <f aca="false">P75/Assumptions!$C$76</f>
        <v>0.69214</v>
      </c>
      <c r="AI75" s="37" t="n">
        <f aca="false">P75/Assumptions!$C$77</f>
        <v>0.69214</v>
      </c>
      <c r="AJ75" s="37" t="n">
        <f aca="false">P75/Assumptions!$C$78</f>
        <v>5.76783333333333</v>
      </c>
      <c r="AK75" s="37" t="n">
        <f aca="false">H75/(Assumptions!$C$19/12)</f>
        <v>0</v>
      </c>
      <c r="AL75" s="37" t="n">
        <f aca="false">Assumptions!F$92</f>
        <v>1</v>
      </c>
      <c r="AM75" s="37" t="n">
        <f aca="false">Assumptions!F$93</f>
        <v>4</v>
      </c>
      <c r="AN75" s="37" t="n">
        <f aca="false">Assumptions!F$94</f>
        <v>1</v>
      </c>
      <c r="AO75" s="37" t="n">
        <f aca="false">SUM(AH75:AN75)</f>
        <v>13.1521133333333</v>
      </c>
      <c r="AP75" s="39" t="n">
        <f aca="false">AH75*Assumptions!$C$85*(1+Assumptions!$C$73)*(1+Assumptions!$C$74)^3/12</f>
        <v>5514.83381297917</v>
      </c>
      <c r="AQ75" s="39" t="n">
        <f aca="false">AI75*Assumptions!$C$86*(1+Assumptions!$C$73)*(1+Assumptions!$C$74)^3/12</f>
        <v>5120.91711205208</v>
      </c>
      <c r="AR75" s="39" t="n">
        <f aca="false">AJ75*Assumptions!$C$87*(1+Assumptions!$C$73)*(1+Assumptions!$C$74)^3/12</f>
        <v>36109.030918316</v>
      </c>
      <c r="AS75" s="39" t="n">
        <f aca="false">AK75*Assumptions!$C$85*(1+Assumptions!$C$73)*(1+Assumptions!$C$74)^3/12</f>
        <v>0</v>
      </c>
      <c r="AT75" s="39" t="n">
        <f aca="false">AL75*Assumptions!$C$83*(1+Assumptions!$C$73)*(1+Assumptions!$C$74)^3/12</f>
        <v>18212.1166666667</v>
      </c>
      <c r="AU75" s="39" t="n">
        <f aca="false">AM75*Assumptions!$C$84*(1+Assumptions!$C$73)*(1+Assumptions!$C$74)^3/12</f>
        <v>77401.4958333333</v>
      </c>
      <c r="AV75" s="39" t="n">
        <f aca="false">AN75*Assumptions!$C$88*(1+Assumptions!$C$73)*(1+Assumptions!$C$74)^3/12</f>
        <v>12520.8302083333</v>
      </c>
      <c r="AW75" s="39" t="n">
        <f aca="false">SUM(AP75:AV75)</f>
        <v>154879.224551681</v>
      </c>
      <c r="AX75" s="39" t="n">
        <f aca="false">MIN(Assumptions!$C$80*W74,MAX(0,BS74+BC74))</f>
        <v>53887.183975452</v>
      </c>
      <c r="AY75" s="39" t="n">
        <f aca="false">IF(SUM(AH75:AK75)&lt;=0,0,MIN(AX75,SUM(AP75:AS75)*MAX(0,1-Assumptions!$C$79/SUM(AH75:AK75))))</f>
        <v>33673.1819777558</v>
      </c>
      <c r="AZ75" s="36" t="n">
        <f aca="false">IF(SUM(AP75:AS75)=0,0,AY75/SUM(AP75:AS75))</f>
        <v>0.720362373079472</v>
      </c>
      <c r="BA75" s="39" t="n">
        <f aca="false">MIN(AX75-AY75,SUM(AT75:AV75))</f>
        <v>20214.0019976962</v>
      </c>
      <c r="BB75" s="36" t="n">
        <f aca="false">IF(SUM(AT75:AV75)=0,0,BA75/SUM(AT75:AV75))</f>
        <v>0.186933982285539</v>
      </c>
      <c r="BC75" s="39" t="n">
        <f aca="false">AY75+BA75</f>
        <v>53887.183975452</v>
      </c>
      <c r="BD75" s="37" t="n">
        <f aca="false">SUM(AH75:AK75)*AZ75+SUM(AL75:AN75)*BB75</f>
        <v>6.27371722704656</v>
      </c>
      <c r="BE75" s="37" t="n">
        <f aca="false">MAX(0,SUM(AH75:AK75)*(1-AZ75)-Assumptions!$C$79)</f>
        <v>0</v>
      </c>
      <c r="BF75" s="39" t="n">
        <f aca="false">AP75*AZ75</f>
        <v>3972.67877265658</v>
      </c>
      <c r="BG75" s="39" t="n">
        <f aca="false">AQ75*AZ75</f>
        <v>3688.91600318111</v>
      </c>
      <c r="BH75" s="39" t="n">
        <f aca="false">AR75*AZ75</f>
        <v>26011.5872019181</v>
      </c>
      <c r="BI75" s="39" t="n">
        <f aca="false">AS75*AZ75</f>
        <v>0</v>
      </c>
      <c r="BJ75" s="39" t="n">
        <f aca="false">AT75*BB75</f>
        <v>3404.46349434883</v>
      </c>
      <c r="BK75" s="39" t="n">
        <f aca="false">AU75*BB75</f>
        <v>14468.9698509825</v>
      </c>
      <c r="BL75" s="39" t="n">
        <f aca="false">AV75*BB75</f>
        <v>2340.56865236482</v>
      </c>
      <c r="BM75" s="39" t="n">
        <f aca="false">H75*(Assumptions!$C$68+Assumptions!$C$66)*Assumptions!$F$10</f>
        <v>0</v>
      </c>
      <c r="BN75" s="39" t="n">
        <f aca="false">K75*$C$19+L75*$D$19+M75*$E$19+N75*$F$19+O75*$G$19</f>
        <v>0</v>
      </c>
      <c r="BO75" s="39" t="n">
        <f aca="false">Assumptions!$C$99*W75</f>
        <v>3060.25594779924</v>
      </c>
      <c r="BP75" s="39" t="n">
        <f aca="false">Assumptions!F$98/12+P75*Assumptions!$C$101/12</f>
        <v>6767.83333333333</v>
      </c>
      <c r="BQ75" s="39" t="n">
        <f aca="false">BD75*Assumptions!$C$102/12+Assumptions!$C$100</f>
        <v>1668.42930676164</v>
      </c>
      <c r="BR75" s="39" t="n">
        <f aca="false">SUM(BF75:BQ75)</f>
        <v>65383.7025633462</v>
      </c>
      <c r="BS75" s="39" t="n">
        <f aca="false">W75-AD75-BR75</f>
        <v>43557.1839511057</v>
      </c>
      <c r="BT75" s="39" t="n">
        <f aca="false">MAX(0,BD75-BD74)*Assumptions!$C$103</f>
        <v>0</v>
      </c>
      <c r="BU75" s="39" t="n">
        <f aca="false">0</f>
        <v>0</v>
      </c>
      <c r="BV75" s="39" t="n">
        <f aca="false">-(W75-W74)*12*Assumptions!$C$108</f>
        <v>-6586.14148247953</v>
      </c>
      <c r="BW75" s="39" t="n">
        <f aca="false">0</f>
        <v>0</v>
      </c>
      <c r="BX75" s="39" t="n">
        <f aca="false">BS75-BT75+BU75+BV75+BW75</f>
        <v>36971.0424686262</v>
      </c>
      <c r="BY75" s="29" t="n">
        <f aca="false">BY74+BX75</f>
        <v>276513.158690754</v>
      </c>
    </row>
    <row r="76" customFormat="false" ht="15" hidden="false" customHeight="false" outlineLevel="0" collapsed="false">
      <c r="A76" s="45" t="n">
        <v>46</v>
      </c>
      <c r="B76" s="45" t="n">
        <v>2030</v>
      </c>
      <c r="C76" s="45" t="n">
        <v>3</v>
      </c>
      <c r="D76" s="35" t="n">
        <f aca="false">ROUND(Assumptions!F$18*Assumptions!$F$7/12,0)</f>
        <v>250</v>
      </c>
      <c r="E76" s="35" t="n">
        <f aca="false">Rollout!$C$10-I75</f>
        <v>7733</v>
      </c>
      <c r="F76" s="39" t="n">
        <f aca="false">H76*$C$26+H75*$D$26+H74*$E$26+H73*$F$26+H72*$G$26+H71*$H$26+H70*$I$26+H69*$J$26+H68*$K$26+H67*$L$26+H66*$M$26+H65*$N$26</f>
        <v>25958.9507026612</v>
      </c>
      <c r="G76" s="39" t="n">
        <f aca="false">BY75-Assumptions!$C$110-F75-Assumptions!$C$111*(Assumptions!$C$100+Assumptions!F$98/12+BC75)</f>
        <v>45665.0734153449</v>
      </c>
      <c r="H76" s="35" t="n">
        <f aca="false">IF(BE75&gt;0,0,MAX(0,MIN(D76,E76,INT(G76/$C$27))))</f>
        <v>216</v>
      </c>
      <c r="I76" s="35" t="n">
        <f aca="false">I75+H76</f>
        <v>916</v>
      </c>
      <c r="J76" s="35" t="n">
        <f aca="false">SUM(H65:H76)</f>
        <v>662</v>
      </c>
      <c r="K76" s="35" t="n">
        <f aca="false">H76*$C$23+H75*$D$23+H74*$E$23+H73*$F$23+H72*$G$23+H71*$H$23+H70*$I$23+H69*$J$23+H68*$K$23+H67*$L$23+H66*$M$23+H65*$N$23</f>
        <v>323.2696</v>
      </c>
      <c r="L76" s="35" t="n">
        <f aca="false">SUM(H53:H64)</f>
        <v>203</v>
      </c>
      <c r="M76" s="35" t="n">
        <f aca="false">SUM(H41:H52)</f>
        <v>34</v>
      </c>
      <c r="N76" s="35" t="n">
        <f aca="false">SUM(H31:H40)</f>
        <v>17</v>
      </c>
      <c r="O76" s="35" t="n">
        <f aca="false">0</f>
        <v>0</v>
      </c>
      <c r="P76" s="35" t="n">
        <f aca="false">J76*$C$6+L76*$D$6+M76*$E$6+N76*$F$6+O76*$G$6</f>
        <v>907.19</v>
      </c>
      <c r="Q76" s="39" t="n">
        <f aca="false">K76*$C$7+L76*$D$7+M76*$E$7+N76*$F$7+O76*$G$7</f>
        <v>57644.8531904</v>
      </c>
      <c r="R76" s="39" t="n">
        <f aca="false">K76*$C$8+L76*$D$8+M76*$E$8+N76*$F$8+O76*$G$8</f>
        <v>38917.515606528</v>
      </c>
      <c r="S76" s="39" t="n">
        <f aca="false">K76*$C$9+L76*$D$9+M76*$E$9+N76*$F$9+O76*$G$9</f>
        <v>18937.1952</v>
      </c>
      <c r="T76" s="39" t="n">
        <f aca="false">K76*$C$10+L76*$D$10+M76*$E$10+N76*$F$10+O76*$G$10</f>
        <v>26576.7542586</v>
      </c>
      <c r="U76" s="39" t="n">
        <f aca="false">K76*$C$11+L76*$D$11+M76*$E$11+N76*$F$11+O76*$G$11</f>
        <v>24598.9716</v>
      </c>
      <c r="V76" s="39" t="n">
        <f aca="false">K76*$C$12+L76*$D$12+M76*$E$12+N76*$F$12+O76*$G$12</f>
        <v>5936.161728</v>
      </c>
      <c r="W76" s="39" t="n">
        <f aca="false">SUM(Q76:V76)</f>
        <v>172611.451583528</v>
      </c>
      <c r="X76" s="39" t="n">
        <f aca="false">J76*$C$14+L76*$D$14+M76*$E$14+N76*$F$14+O76*$G$14</f>
        <v>28863.0058416667</v>
      </c>
      <c r="Y76" s="39" t="n">
        <f aca="false">J76*$C$15+L76*$D$15+M76*$E$15+N76*$F$15+O76*$G$15</f>
        <v>22679.75</v>
      </c>
      <c r="Z76" s="39" t="n">
        <f aca="false">K76*$C$16+L76*$D$16+M76*$E$16+N76*$F$16+O76*$G$16</f>
        <v>320.88712712</v>
      </c>
      <c r="AA76" s="39" t="n">
        <f aca="false">K76*$C$17+L76*$D$17+M76*$E$17+N76*$F$17+O76*$G$17</f>
        <v>4583.66641577651</v>
      </c>
      <c r="AB76" s="39" t="n">
        <f aca="false">J76*$C$18+L76*$D$18+M76*$E$18+N76*$F$18+O76*$G$18</f>
        <v>408.65</v>
      </c>
      <c r="AC76" s="39" t="n">
        <f aca="false">H76*Assumptions!$C$67*Assumptions!$F$10</f>
        <v>3240</v>
      </c>
      <c r="AD76" s="39" t="n">
        <f aca="false">SUM(X76:AC76)</f>
        <v>60095.9593845632</v>
      </c>
      <c r="AE76" s="35" t="n">
        <f aca="false">K76*$C$20+L76*$D$20+M76*$E$20+N76*$F$20+O76*$G$20</f>
        <v>128354.850848</v>
      </c>
      <c r="AF76" s="35" t="n">
        <f aca="false">K76*$C$21+L76*$D$21+M76*$E$21+N76*$F$21+O76*$G$21</f>
        <v>7039389.4032</v>
      </c>
      <c r="AG76" s="35" t="n">
        <f aca="false">K76*$C$22+L76*$D$22+M76*$E$22+N76*$F$22+O76*$G$22</f>
        <v>6135.810535552</v>
      </c>
      <c r="AH76" s="37" t="n">
        <f aca="false">P76/Assumptions!$C$76</f>
        <v>0.90719</v>
      </c>
      <c r="AI76" s="37" t="n">
        <f aca="false">P76/Assumptions!$C$77</f>
        <v>0.90719</v>
      </c>
      <c r="AJ76" s="37" t="n">
        <f aca="false">P76/Assumptions!$C$78</f>
        <v>7.55991666666667</v>
      </c>
      <c r="AK76" s="37" t="n">
        <f aca="false">H76/(Assumptions!$C$19/12)</f>
        <v>6.48</v>
      </c>
      <c r="AL76" s="37" t="n">
        <f aca="false">Assumptions!F$92</f>
        <v>1</v>
      </c>
      <c r="AM76" s="37" t="n">
        <f aca="false">Assumptions!F$93</f>
        <v>4</v>
      </c>
      <c r="AN76" s="37" t="n">
        <f aca="false">Assumptions!F$94</f>
        <v>1</v>
      </c>
      <c r="AO76" s="37" t="n">
        <f aca="false">SUM(AH76:AN76)</f>
        <v>21.8542966666667</v>
      </c>
      <c r="AP76" s="39" t="n">
        <f aca="false">AH76*Assumptions!$C$85*(1+Assumptions!$C$73)*(1+Assumptions!$C$74)^3/12</f>
        <v>7228.30942698958</v>
      </c>
      <c r="AQ76" s="39" t="n">
        <f aca="false">AI76*Assumptions!$C$86*(1+Assumptions!$C$73)*(1+Assumptions!$C$74)^3/12</f>
        <v>6712.00161077604</v>
      </c>
      <c r="AR76" s="39" t="n">
        <f aca="false">AJ76*Assumptions!$C$87*(1+Assumptions!$C$73)*(1+Assumptions!$C$74)^3/12</f>
        <v>47328.2164862413</v>
      </c>
      <c r="AS76" s="39" t="n">
        <f aca="false">AK76*Assumptions!$C$85*(1+Assumptions!$C$73)*(1+Assumptions!$C$74)^3/12</f>
        <v>51631.35075</v>
      </c>
      <c r="AT76" s="39" t="n">
        <f aca="false">AL76*Assumptions!$C$83*(1+Assumptions!$C$73)*(1+Assumptions!$C$74)^3/12</f>
        <v>18212.1166666667</v>
      </c>
      <c r="AU76" s="39" t="n">
        <f aca="false">AM76*Assumptions!$C$84*(1+Assumptions!$C$73)*(1+Assumptions!$C$74)^3/12</f>
        <v>77401.4958333333</v>
      </c>
      <c r="AV76" s="39" t="n">
        <f aca="false">AN76*Assumptions!$C$88*(1+Assumptions!$C$73)*(1+Assumptions!$C$74)^3/12</f>
        <v>12520.8302083333</v>
      </c>
      <c r="AW76" s="39" t="n">
        <f aca="false">SUM(AP76:AV76)</f>
        <v>221034.32098234</v>
      </c>
      <c r="AX76" s="39" t="n">
        <f aca="false">MIN(Assumptions!$C$80*W75,MAX(0,BS75+BC75))</f>
        <v>61205.1189559848</v>
      </c>
      <c r="AY76" s="39" t="n">
        <f aca="false">IF(SUM(AH76:AK76)&lt;=0,0,MIN(AX76,SUM(AP76:AS76)*MAX(0,1-Assumptions!$C$79/SUM(AH76:AK76))))</f>
        <v>61205.1189559848</v>
      </c>
      <c r="AZ76" s="36" t="n">
        <f aca="false">IF(SUM(AP76:AS76)=0,0,AY76/SUM(AP76:AS76))</f>
        <v>0.542118555765318</v>
      </c>
      <c r="BA76" s="39" t="n">
        <f aca="false">MIN(AX76-AY76,SUM(AT76:AV76))</f>
        <v>0</v>
      </c>
      <c r="BB76" s="36" t="n">
        <f aca="false">IF(SUM(AT76:AV76)=0,0,BA76/SUM(AT76:AV76))</f>
        <v>0</v>
      </c>
      <c r="BC76" s="39" t="n">
        <f aca="false">AY76+BA76</f>
        <v>61205.1189559848</v>
      </c>
      <c r="BD76" s="37" t="n">
        <f aca="false">SUM(AH76:AK76)*AZ76+SUM(AL76:AN76)*BB76</f>
        <v>8.59490841160823</v>
      </c>
      <c r="BE76" s="37" t="n">
        <f aca="false">MAX(0,SUM(AH76:AK76)*(1-AZ76)-Assumptions!$C$79)</f>
        <v>5.25938825505844</v>
      </c>
      <c r="BF76" s="39" t="n">
        <f aca="false">AP76*AZ76</f>
        <v>3918.60066718442</v>
      </c>
      <c r="BG76" s="39" t="n">
        <f aca="false">AQ76*AZ76</f>
        <v>3638.70061952839</v>
      </c>
      <c r="BH76" s="39" t="n">
        <f aca="false">AR76*AZ76</f>
        <v>25657.5043684694</v>
      </c>
      <c r="BI76" s="39" t="n">
        <f aca="false">AS76*AZ76</f>
        <v>27990.3133008026</v>
      </c>
      <c r="BJ76" s="39" t="n">
        <f aca="false">AT76*BB76</f>
        <v>0</v>
      </c>
      <c r="BK76" s="39" t="n">
        <f aca="false">AU76*BB76</f>
        <v>0</v>
      </c>
      <c r="BL76" s="39" t="n">
        <f aca="false">AV76*BB76</f>
        <v>0</v>
      </c>
      <c r="BM76" s="39" t="n">
        <f aca="false">H76*(Assumptions!$C$68+Assumptions!$C$66)*Assumptions!$F$10</f>
        <v>5400</v>
      </c>
      <c r="BN76" s="39" t="n">
        <f aca="false">K76*$C$19+L76*$D$19+M76*$E$19+N76*$F$19+O76*$G$19</f>
        <v>0</v>
      </c>
      <c r="BO76" s="39" t="n">
        <f aca="false">Assumptions!$C$99*W76</f>
        <v>3452.22903167056</v>
      </c>
      <c r="BP76" s="39" t="n">
        <f aca="false">Assumptions!F$98/12+P76*Assumptions!$C$101/12</f>
        <v>8559.91666666667</v>
      </c>
      <c r="BQ76" s="39" t="n">
        <f aca="false">BD76*Assumptions!$C$102/12+Assumptions!$C$100</f>
        <v>2248.72710290206</v>
      </c>
      <c r="BR76" s="39" t="n">
        <f aca="false">SUM(BF76:BQ76)</f>
        <v>80865.9917572241</v>
      </c>
      <c r="BS76" s="39" t="n">
        <f aca="false">W76-AD76-BR76</f>
        <v>31649.5004417407</v>
      </c>
      <c r="BT76" s="39" t="n">
        <f aca="false">MAX(0,BD76-BD75)*Assumptions!$C$103</f>
        <v>5802.97796140415</v>
      </c>
      <c r="BU76" s="39" t="n">
        <f aca="false">0</f>
        <v>0</v>
      </c>
      <c r="BV76" s="39" t="n">
        <f aca="false">-(W76-W75)*12*Assumptions!$C$108</f>
        <v>-7055.51550968375</v>
      </c>
      <c r="BW76" s="39" t="n">
        <f aca="false">0</f>
        <v>0</v>
      </c>
      <c r="BX76" s="39" t="n">
        <f aca="false">BS76-BT76+BU76+BV76+BW76</f>
        <v>18791.0069706528</v>
      </c>
      <c r="BY76" s="29" t="n">
        <f aca="false">BY75+BX76</f>
        <v>295304.165661406</v>
      </c>
    </row>
    <row r="77" customFormat="false" ht="15" hidden="false" customHeight="false" outlineLevel="0" collapsed="false">
      <c r="A77" s="45" t="n">
        <v>47</v>
      </c>
      <c r="B77" s="45" t="n">
        <v>2030</v>
      </c>
      <c r="C77" s="45" t="n">
        <v>3</v>
      </c>
      <c r="D77" s="35" t="n">
        <f aca="false">ROUND(Assumptions!F$18*Assumptions!$F$7/12,0)</f>
        <v>250</v>
      </c>
      <c r="E77" s="35" t="n">
        <f aca="false">Rollout!$C$10-I76</f>
        <v>7517</v>
      </c>
      <c r="F77" s="39" t="n">
        <f aca="false">H77*$C$26+H76*$D$26+H75*$E$26+H74*$F$26+H73*$G$26+H72*$H$26+H71*$I$26+H70*$J$26+H69*$K$26+H68*$L$26+H67*$M$26+H66*$N$26</f>
        <v>11195.0757314018</v>
      </c>
      <c r="G77" s="39" t="n">
        <f aca="false">BY76-Assumptions!$C$110-F76-Assumptions!$C$111*(Assumptions!$C$100+Assumptions!F$98/12+BC76)</f>
        <v>19124.739134806</v>
      </c>
      <c r="H77" s="35" t="n">
        <f aca="false">IF(BE76&gt;0,0,MAX(0,MIN(D77,E77,INT(G77/$C$27))))</f>
        <v>0</v>
      </c>
      <c r="I77" s="35" t="n">
        <f aca="false">I76+H77</f>
        <v>916</v>
      </c>
      <c r="J77" s="35" t="n">
        <f aca="false">SUM(H66:H77)</f>
        <v>647</v>
      </c>
      <c r="K77" s="35" t="n">
        <f aca="false">H77*$C$23+H76*$D$23+H75*$E$23+H74*$F$23+H73*$G$23+H72*$H$23+H71*$I$23+H70*$J$23+H69*$K$23+H68*$L$23+H67*$M$23+H66*$N$23</f>
        <v>410.9133</v>
      </c>
      <c r="L77" s="35" t="n">
        <f aca="false">SUM(H54:H65)</f>
        <v>206</v>
      </c>
      <c r="M77" s="35" t="n">
        <f aca="false">SUM(H42:H53)</f>
        <v>42</v>
      </c>
      <c r="N77" s="35" t="n">
        <f aca="false">SUM(H31:H41)</f>
        <v>21</v>
      </c>
      <c r="O77" s="35" t="n">
        <f aca="false">0</f>
        <v>0</v>
      </c>
      <c r="P77" s="35" t="n">
        <f aca="false">J77*$C$6+L77*$D$6+M77*$E$6+N77*$F$6+O77*$G$6</f>
        <v>906.46</v>
      </c>
      <c r="Q77" s="39" t="n">
        <f aca="false">K77*$C$7+L77*$D$7+M77*$E$7+N77*$F$7+O77*$G$7</f>
        <v>65399.4279792</v>
      </c>
      <c r="R77" s="39" t="n">
        <f aca="false">K77*$C$8+L77*$D$8+M77*$E$8+N77*$F$8+O77*$G$8</f>
        <v>44080.380774144</v>
      </c>
      <c r="S77" s="39" t="n">
        <f aca="false">K77*$C$9+L77*$D$9+M77*$E$9+N77*$F$9+O77*$G$9</f>
        <v>20985.7032</v>
      </c>
      <c r="T77" s="39" t="n">
        <f aca="false">K77*$C$10+L77*$D$10+M77*$E$10+N77*$F$10+O77*$G$10</f>
        <v>29773.20886155</v>
      </c>
      <c r="U77" s="39" t="n">
        <f aca="false">K77*$C$11+L77*$D$11+M77*$E$11+N77*$F$11+O77*$G$11</f>
        <v>27894.5793</v>
      </c>
      <c r="V77" s="39" t="n">
        <f aca="false">K77*$C$12+L77*$D$12+M77*$E$12+N77*$F$12+O77*$G$12</f>
        <v>7332.905664</v>
      </c>
      <c r="W77" s="39" t="n">
        <f aca="false">SUM(Q77:V77)</f>
        <v>195466.205778894</v>
      </c>
      <c r="X77" s="39" t="n">
        <f aca="false">J77*$C$14+L77*$D$14+M77*$E$14+N77*$F$14+O77*$G$14</f>
        <v>28839.7802833333</v>
      </c>
      <c r="Y77" s="39" t="n">
        <f aca="false">J77*$C$15+L77*$D$15+M77*$E$15+N77*$F$15+O77*$G$15</f>
        <v>22661.5</v>
      </c>
      <c r="Z77" s="39" t="n">
        <f aca="false">K77*$C$16+L77*$D$16+M77*$E$16+N77*$F$16+O77*$G$16</f>
        <v>364.767119885</v>
      </c>
      <c r="AA77" s="39" t="n">
        <f aca="false">K77*$C$17+L77*$D$17+M77*$E$17+N77*$F$17+O77*$G$17</f>
        <v>5197.61802395578</v>
      </c>
      <c r="AB77" s="39" t="n">
        <f aca="false">J77*$C$18+L77*$D$18+M77*$E$18+N77*$F$18+O77*$G$18</f>
        <v>432.433333333333</v>
      </c>
      <c r="AC77" s="39" t="n">
        <f aca="false">H77*Assumptions!$C$67*Assumptions!$F$10</f>
        <v>0</v>
      </c>
      <c r="AD77" s="39" t="n">
        <f aca="false">SUM(X77:AC77)</f>
        <v>57496.0987605074</v>
      </c>
      <c r="AE77" s="35" t="n">
        <f aca="false">K77*$C$20+L77*$D$20+M77*$E$20+N77*$F$20+O77*$G$20</f>
        <v>145906.847954</v>
      </c>
      <c r="AF77" s="35" t="n">
        <f aca="false">K77*$C$21+L77*$D$21+M77*$E$21+N77*$F$21+O77*$G$21</f>
        <v>8086685.9836</v>
      </c>
      <c r="AG77" s="35" t="n">
        <f aca="false">K77*$C$22+L77*$D$22+M77*$E$22+N77*$F$22+O77*$G$22</f>
        <v>6954.322033696</v>
      </c>
      <c r="AH77" s="37" t="n">
        <f aca="false">P77/Assumptions!$C$76</f>
        <v>0.90646</v>
      </c>
      <c r="AI77" s="37" t="n">
        <f aca="false">P77/Assumptions!$C$77</f>
        <v>0.90646</v>
      </c>
      <c r="AJ77" s="37" t="n">
        <f aca="false">P77/Assumptions!$C$78</f>
        <v>7.55383333333333</v>
      </c>
      <c r="AK77" s="37" t="n">
        <f aca="false">H77/(Assumptions!$C$19/12)</f>
        <v>0</v>
      </c>
      <c r="AL77" s="37" t="n">
        <f aca="false">Assumptions!F$92</f>
        <v>1</v>
      </c>
      <c r="AM77" s="37" t="n">
        <f aca="false">Assumptions!F$93</f>
        <v>4</v>
      </c>
      <c r="AN77" s="37" t="n">
        <f aca="false">Assumptions!F$94</f>
        <v>1</v>
      </c>
      <c r="AO77" s="37" t="n">
        <f aca="false">SUM(AH77:AN77)</f>
        <v>15.3667533333333</v>
      </c>
      <c r="AP77" s="39" t="n">
        <f aca="false">AH77*Assumptions!$C$85*(1+Assumptions!$C$73)*(1+Assumptions!$C$74)^3/12</f>
        <v>7222.49293222917</v>
      </c>
      <c r="AQ77" s="39" t="n">
        <f aca="false">AI77*Assumptions!$C$86*(1+Assumptions!$C$73)*(1+Assumptions!$C$74)^3/12</f>
        <v>6706.60057992708</v>
      </c>
      <c r="AR77" s="39" t="n">
        <f aca="false">AJ77*Assumptions!$C$87*(1+Assumptions!$C$73)*(1+Assumptions!$C$74)^3/12</f>
        <v>47290.1322943576</v>
      </c>
      <c r="AS77" s="39" t="n">
        <f aca="false">AK77*Assumptions!$C$85*(1+Assumptions!$C$73)*(1+Assumptions!$C$74)^3/12</f>
        <v>0</v>
      </c>
      <c r="AT77" s="39" t="n">
        <f aca="false">AL77*Assumptions!$C$83*(1+Assumptions!$C$73)*(1+Assumptions!$C$74)^3/12</f>
        <v>18212.1166666667</v>
      </c>
      <c r="AU77" s="39" t="n">
        <f aca="false">AM77*Assumptions!$C$84*(1+Assumptions!$C$73)*(1+Assumptions!$C$74)^3/12</f>
        <v>77401.4958333333</v>
      </c>
      <c r="AV77" s="39" t="n">
        <f aca="false">AN77*Assumptions!$C$88*(1+Assumptions!$C$73)*(1+Assumptions!$C$74)^3/12</f>
        <v>12520.8302083333</v>
      </c>
      <c r="AW77" s="39" t="n">
        <f aca="false">SUM(AP77:AV77)</f>
        <v>169353.668514847</v>
      </c>
      <c r="AX77" s="39" t="n">
        <f aca="false">MIN(Assumptions!$C$80*W76,MAX(0,BS76+BC76))</f>
        <v>69044.5806334112</v>
      </c>
      <c r="AY77" s="39" t="n">
        <f aca="false">IF(SUM(AH77:AK77)&lt;=0,0,MIN(AX77,SUM(AP77:AS77)*MAX(0,1-Assumptions!$C$79/SUM(AH77:AK77))))</f>
        <v>48147.6259409225</v>
      </c>
      <c r="AZ77" s="36" t="n">
        <f aca="false">IF(SUM(AP77:AS77)=0,0,AY77/SUM(AP77:AS77))</f>
        <v>0.786478843967992</v>
      </c>
      <c r="BA77" s="39" t="n">
        <f aca="false">MIN(AX77-AY77,SUM(AT77:AV77))</f>
        <v>20896.9546924887</v>
      </c>
      <c r="BB77" s="36" t="n">
        <f aca="false">IF(SUM(AT77:AV77)=0,0,BA77/SUM(AT77:AV77))</f>
        <v>0.193249756221089</v>
      </c>
      <c r="BC77" s="39" t="n">
        <f aca="false">AY77+BA77</f>
        <v>69044.5806334112</v>
      </c>
      <c r="BD77" s="37" t="n">
        <f aca="false">SUM(AH77:AK77)*AZ77+SUM(AL77:AN77)*BB77</f>
        <v>8.52625187065986</v>
      </c>
      <c r="BE77" s="37" t="n">
        <f aca="false">MAX(0,SUM(AH77:AK77)*(1-AZ77)-Assumptions!$C$79)</f>
        <v>0</v>
      </c>
      <c r="BF77" s="39" t="n">
        <f aca="false">AP77*AZ77</f>
        <v>5680.33789190659</v>
      </c>
      <c r="BG77" s="39" t="n">
        <f aca="false">AQ77*AZ77</f>
        <v>5274.59947105612</v>
      </c>
      <c r="BH77" s="39" t="n">
        <f aca="false">AR77*AZ77</f>
        <v>37192.6885779598</v>
      </c>
      <c r="BI77" s="39" t="n">
        <f aca="false">AS77*AZ77</f>
        <v>0</v>
      </c>
      <c r="BJ77" s="39" t="n">
        <f aca="false">AT77*BB77</f>
        <v>3519.48710610336</v>
      </c>
      <c r="BK77" s="39" t="n">
        <f aca="false">AU77*BB77</f>
        <v>14957.8202009393</v>
      </c>
      <c r="BL77" s="39" t="n">
        <f aca="false">AV77*BB77</f>
        <v>2419.64738544606</v>
      </c>
      <c r="BM77" s="39" t="n">
        <f aca="false">H77*(Assumptions!$C$68+Assumptions!$C$66)*Assumptions!$F$10</f>
        <v>0</v>
      </c>
      <c r="BN77" s="39" t="n">
        <f aca="false">K77*$C$19+L77*$D$19+M77*$E$19+N77*$F$19+O77*$G$19</f>
        <v>0</v>
      </c>
      <c r="BO77" s="39" t="n">
        <f aca="false">Assumptions!$C$99*W77</f>
        <v>3909.32411557788</v>
      </c>
      <c r="BP77" s="39" t="n">
        <f aca="false">Assumptions!F$98/12+P77*Assumptions!$C$101/12</f>
        <v>8553.83333333333</v>
      </c>
      <c r="BQ77" s="39" t="n">
        <f aca="false">BD77*Assumptions!$C$102/12+Assumptions!$C$100</f>
        <v>2231.56296766497</v>
      </c>
      <c r="BR77" s="39" t="n">
        <f aca="false">SUM(BF77:BQ77)</f>
        <v>83739.3010499874</v>
      </c>
      <c r="BS77" s="39" t="n">
        <f aca="false">W77-AD77-BR77</f>
        <v>54230.8059683992</v>
      </c>
      <c r="BT77" s="39" t="n">
        <f aca="false">MAX(0,BD77-BD76)*Assumptions!$C$103</f>
        <v>0</v>
      </c>
      <c r="BU77" s="39" t="n">
        <f aca="false">0</f>
        <v>0</v>
      </c>
      <c r="BV77" s="39" t="n">
        <f aca="false">-(W77-W76)*12*Assumptions!$C$108</f>
        <v>-8227.71151033176</v>
      </c>
      <c r="BW77" s="39" t="n">
        <f aca="false">0</f>
        <v>0</v>
      </c>
      <c r="BX77" s="39" t="n">
        <f aca="false">BS77-BT77+BU77+BV77+BW77</f>
        <v>46003.0944580674</v>
      </c>
      <c r="BY77" s="29" t="n">
        <f aca="false">BY76+BX77</f>
        <v>341307.260119474</v>
      </c>
    </row>
    <row r="78" customFormat="false" ht="15" hidden="false" customHeight="false" outlineLevel="0" collapsed="false">
      <c r="A78" s="45" t="n">
        <v>48</v>
      </c>
      <c r="B78" s="45" t="n">
        <v>2030</v>
      </c>
      <c r="C78" s="45" t="n">
        <v>3</v>
      </c>
      <c r="D78" s="35" t="n">
        <f aca="false">ROUND(Assumptions!F$18*Assumptions!$F$7/12,0)</f>
        <v>250</v>
      </c>
      <c r="E78" s="35" t="n">
        <f aca="false">Rollout!$C$10-I77</f>
        <v>7517</v>
      </c>
      <c r="F78" s="39" t="n">
        <f aca="false">H78*$C$26+H77*$D$26+H76*$E$26+H75*$F$26+H74*$G$26+H73*$H$26+H72*$I$26+H71*$J$26+H70*$K$26+H69*$L$26+H68*$M$26+H67*$N$26</f>
        <v>27852.0422720991</v>
      </c>
      <c r="G78" s="39" t="n">
        <f aca="false">BY77-Assumptions!$C$110-F77-Assumptions!$C$111*(Assumptions!$C$100+Assumptions!F$98/12+BC77)</f>
        <v>48533.8618544272</v>
      </c>
      <c r="H78" s="35" t="n">
        <f aca="false">IF(BE77&gt;0,0,MAX(0,MIN(D78,E78,INT(G78/$C$27))))</f>
        <v>230</v>
      </c>
      <c r="I78" s="35" t="n">
        <f aca="false">I77+H78</f>
        <v>1146</v>
      </c>
      <c r="J78" s="35" t="n">
        <f aca="false">SUM(H67:H78)</f>
        <v>864</v>
      </c>
      <c r="K78" s="35" t="n">
        <f aca="false">H78*$C$23+H77*$D$23+H76*$E$23+H75*$F$23+H74*$G$23+H73*$H$23+H72*$I$23+H71*$J$23+H70*$K$23+H69*$L$23+H68*$M$23+H67*$N$23</f>
        <v>500.1745</v>
      </c>
      <c r="L78" s="35" t="n">
        <f aca="false">SUM(H55:H66)</f>
        <v>211</v>
      </c>
      <c r="M78" s="35" t="n">
        <f aca="false">SUM(H43:H54)</f>
        <v>43</v>
      </c>
      <c r="N78" s="35" t="n">
        <f aca="false">SUM(H31:H42)</f>
        <v>28</v>
      </c>
      <c r="O78" s="35" t="n">
        <f aca="false">0</f>
        <v>0</v>
      </c>
      <c r="P78" s="35" t="n">
        <f aca="false">J78*$C$6+L78*$D$6+M78*$E$6+N78*$F$6+O78*$G$6</f>
        <v>1135.84</v>
      </c>
      <c r="Q78" s="39" t="n">
        <f aca="false">K78*$C$7+L78*$D$7+M78*$E$7+N78*$F$7+O78*$G$7</f>
        <v>72773.97708</v>
      </c>
      <c r="R78" s="39" t="n">
        <f aca="false">K78*$C$8+L78*$D$8+M78*$E$8+N78*$F$8+O78*$G$8</f>
        <v>48952.23330816</v>
      </c>
      <c r="S78" s="39" t="n">
        <f aca="false">K78*$C$9+L78*$D$9+M78*$E$9+N78*$F$9+O78*$G$9</f>
        <v>22845.438</v>
      </c>
      <c r="T78" s="39" t="n">
        <f aca="false">K78*$C$10+L78*$D$10+M78*$E$10+N78*$F$10+O78*$G$10</f>
        <v>32741.96217075</v>
      </c>
      <c r="U78" s="39" t="n">
        <f aca="false">K78*$C$11+L78*$D$11+M78*$E$11+N78*$F$11+O78*$G$11</f>
        <v>31003.4445</v>
      </c>
      <c r="V78" s="39" t="n">
        <f aca="false">K78*$C$12+L78*$D$12+M78*$E$12+N78*$F$12+O78*$G$12</f>
        <v>8338.126272</v>
      </c>
      <c r="W78" s="39" t="n">
        <f aca="false">SUM(Q78:V78)</f>
        <v>216655.18133091</v>
      </c>
      <c r="X78" s="39" t="n">
        <f aca="false">J78*$C$14+L78*$D$14+M78*$E$14+N78*$F$14+O78*$G$14</f>
        <v>36137.6961333333</v>
      </c>
      <c r="Y78" s="39" t="n">
        <f aca="false">J78*$C$15+L78*$D$15+M78*$E$15+N78*$F$15+O78*$G$15</f>
        <v>28396</v>
      </c>
      <c r="Z78" s="39" t="n">
        <f aca="false">K78*$C$16+L78*$D$16+M78*$E$16+N78*$F$16+O78*$G$16</f>
        <v>406.914666025</v>
      </c>
      <c r="AA78" s="39" t="n">
        <f aca="false">K78*$C$17+L78*$D$17+M78*$E$17+N78*$F$17+O78*$G$17</f>
        <v>5780.08769208864</v>
      </c>
      <c r="AB78" s="39" t="n">
        <f aca="false">J78*$C$18+L78*$D$18+M78*$E$18+N78*$F$18+O78*$G$18</f>
        <v>453.066666666667</v>
      </c>
      <c r="AC78" s="39" t="n">
        <f aca="false">H78*Assumptions!$C$67*Assumptions!$F$10</f>
        <v>3450</v>
      </c>
      <c r="AD78" s="39" t="n">
        <f aca="false">SUM(X78:AC78)</f>
        <v>74623.7651581136</v>
      </c>
      <c r="AE78" s="35" t="n">
        <f aca="false">K78*$C$20+L78*$D$20+M78*$E$20+N78*$F$20+O78*$G$20</f>
        <v>162765.86641</v>
      </c>
      <c r="AF78" s="35" t="n">
        <f aca="false">K78*$C$21+L78*$D$21+M78*$E$21+N78*$F$21+O78*$G$21</f>
        <v>9096900.974</v>
      </c>
      <c r="AG78" s="35" t="n">
        <f aca="false">K78*$C$22+L78*$D$22+M78*$E$22+N78*$F$22+O78*$G$22</f>
        <v>7730.85396944</v>
      </c>
      <c r="AH78" s="37" t="n">
        <f aca="false">P78/Assumptions!$C$76</f>
        <v>1.13584</v>
      </c>
      <c r="AI78" s="37" t="n">
        <f aca="false">P78/Assumptions!$C$77</f>
        <v>1.13584</v>
      </c>
      <c r="AJ78" s="37" t="n">
        <f aca="false">P78/Assumptions!$C$78</f>
        <v>9.46533333333333</v>
      </c>
      <c r="AK78" s="37" t="n">
        <f aca="false">H78/(Assumptions!$C$19/12)</f>
        <v>6.9</v>
      </c>
      <c r="AL78" s="37" t="n">
        <f aca="false">Assumptions!F$92</f>
        <v>1</v>
      </c>
      <c r="AM78" s="37" t="n">
        <f aca="false">Assumptions!F$93</f>
        <v>4</v>
      </c>
      <c r="AN78" s="37" t="n">
        <f aca="false">Assumptions!F$94</f>
        <v>1</v>
      </c>
      <c r="AO78" s="37" t="n">
        <f aca="false">SUM(AH78:AN78)</f>
        <v>24.6370133333333</v>
      </c>
      <c r="AP78" s="39" t="n">
        <f aca="false">AH78*Assumptions!$C$85*(1+Assumptions!$C$73)*(1+Assumptions!$C$74)^3/12</f>
        <v>9050.14713516667</v>
      </c>
      <c r="AQ78" s="39" t="n">
        <f aca="false">AI78*Assumptions!$C$86*(1+Assumptions!$C$73)*(1+Assumptions!$C$74)^3/12</f>
        <v>8403.70805408333</v>
      </c>
      <c r="AR78" s="39" t="n">
        <f aca="false">AJ78*Assumptions!$C$87*(1+Assumptions!$C$73)*(1+Assumptions!$C$74)^3/12</f>
        <v>59256.9157659722</v>
      </c>
      <c r="AS78" s="39" t="n">
        <f aca="false">AK78*Assumptions!$C$85*(1+Assumptions!$C$73)*(1+Assumptions!$C$74)^3/12</f>
        <v>54977.8271875</v>
      </c>
      <c r="AT78" s="39" t="n">
        <f aca="false">AL78*Assumptions!$C$83*(1+Assumptions!$C$73)*(1+Assumptions!$C$74)^3/12</f>
        <v>18212.1166666667</v>
      </c>
      <c r="AU78" s="39" t="n">
        <f aca="false">AM78*Assumptions!$C$84*(1+Assumptions!$C$73)*(1+Assumptions!$C$74)^3/12</f>
        <v>77401.4958333333</v>
      </c>
      <c r="AV78" s="39" t="n">
        <f aca="false">AN78*Assumptions!$C$88*(1+Assumptions!$C$73)*(1+Assumptions!$C$74)^3/12</f>
        <v>12520.8302083333</v>
      </c>
      <c r="AW78" s="39" t="n">
        <f aca="false">SUM(AP78:AV78)</f>
        <v>239823.040851056</v>
      </c>
      <c r="AX78" s="39" t="n">
        <f aca="false">MIN(Assumptions!$C$80*W77,MAX(0,BS77+BC77))</f>
        <v>78186.4823115576</v>
      </c>
      <c r="AY78" s="39" t="n">
        <f aca="false">IF(SUM(AH78:AK78)&lt;=0,0,MIN(AX78,SUM(AP78:AS78)*MAX(0,1-Assumptions!$C$79/SUM(AH78:AK78))))</f>
        <v>78186.4823115576</v>
      </c>
      <c r="AZ78" s="36" t="n">
        <f aca="false">IF(SUM(AP78:AS78)=0,0,AY78/SUM(AP78:AS78))</f>
        <v>0.59372248937467</v>
      </c>
      <c r="BA78" s="39" t="n">
        <f aca="false">MIN(AX78-AY78,SUM(AT78:AV78))</f>
        <v>0</v>
      </c>
      <c r="BB78" s="36" t="n">
        <f aca="false">IF(SUM(AT78:AV78)=0,0,BA78/SUM(AT78:AV78))</f>
        <v>0</v>
      </c>
      <c r="BC78" s="39" t="n">
        <f aca="false">AY78+BA78</f>
        <v>78186.4823115576</v>
      </c>
      <c r="BD78" s="37" t="n">
        <f aca="false">SUM(AH78:AK78)*AZ78+SUM(AL78:AN78)*BB78</f>
        <v>11.0652139507756</v>
      </c>
      <c r="BE78" s="37" t="n">
        <f aca="false">MAX(0,SUM(AH78:AK78)*(1-AZ78)-Assumptions!$C$79)</f>
        <v>5.57179938255775</v>
      </c>
      <c r="BF78" s="39" t="n">
        <f aca="false">AP78*AZ78</f>
        <v>5373.27588629819</v>
      </c>
      <c r="BG78" s="39" t="n">
        <f aca="false">AQ78*AZ78</f>
        <v>4989.47046584832</v>
      </c>
      <c r="BH78" s="39" t="n">
        <f aca="false">AR78*AZ78</f>
        <v>35182.1635412382</v>
      </c>
      <c r="BI78" s="39" t="n">
        <f aca="false">AS78*AZ78</f>
        <v>32641.5724181729</v>
      </c>
      <c r="BJ78" s="39" t="n">
        <f aca="false">AT78*BB78</f>
        <v>0</v>
      </c>
      <c r="BK78" s="39" t="n">
        <f aca="false">AU78*BB78</f>
        <v>0</v>
      </c>
      <c r="BL78" s="39" t="n">
        <f aca="false">AV78*BB78</f>
        <v>0</v>
      </c>
      <c r="BM78" s="39" t="n">
        <f aca="false">H78*(Assumptions!$C$68+Assumptions!$C$66)*Assumptions!$F$10</f>
        <v>5750</v>
      </c>
      <c r="BN78" s="39" t="n">
        <f aca="false">K78*$C$19+L78*$D$19+M78*$E$19+N78*$F$19+O78*$G$19</f>
        <v>0</v>
      </c>
      <c r="BO78" s="39" t="n">
        <f aca="false">Assumptions!$C$99*W78</f>
        <v>4333.1036266182</v>
      </c>
      <c r="BP78" s="39" t="n">
        <f aca="false">Assumptions!F$98/12+P78*Assumptions!$C$101/12</f>
        <v>10465.3333333333</v>
      </c>
      <c r="BQ78" s="39" t="n">
        <f aca="false">BD78*Assumptions!$C$102/12+Assumptions!$C$100</f>
        <v>2866.3034876939</v>
      </c>
      <c r="BR78" s="39" t="n">
        <f aca="false">SUM(BF78:BQ78)</f>
        <v>101601.222759203</v>
      </c>
      <c r="BS78" s="39" t="n">
        <f aca="false">W78-AD78-BR78</f>
        <v>40430.1934135933</v>
      </c>
      <c r="BT78" s="39" t="n">
        <f aca="false">MAX(0,BD78-BD77)*Assumptions!$C$103</f>
        <v>6347.4052002893</v>
      </c>
      <c r="BU78" s="39" t="n">
        <f aca="false">0</f>
        <v>0</v>
      </c>
      <c r="BV78" s="39" t="n">
        <f aca="false">-(W78-W77)*12*Assumptions!$C$108</f>
        <v>-7628.03119872576</v>
      </c>
      <c r="BW78" s="39" t="n">
        <f aca="false">0</f>
        <v>0</v>
      </c>
      <c r="BX78" s="39" t="n">
        <f aca="false">BS78-BT78+BU78+BV78+BW78</f>
        <v>26454.7570145783</v>
      </c>
      <c r="BY78" s="29" t="n">
        <f aca="false">BY77+BX78</f>
        <v>367762.017134052</v>
      </c>
    </row>
    <row r="79" customFormat="false" ht="15" hidden="false" customHeight="false" outlineLevel="0" collapsed="false">
      <c r="A79" s="45" t="n">
        <v>49</v>
      </c>
      <c r="B79" s="45" t="n">
        <v>2031</v>
      </c>
      <c r="C79" s="45" t="n">
        <v>4</v>
      </c>
      <c r="D79" s="35" t="n">
        <f aca="false">ROUND(Assumptions!G$18*Assumptions!$F$7/12,0)</f>
        <v>250</v>
      </c>
      <c r="E79" s="35" t="n">
        <f aca="false">Rollout!$C$10-I78</f>
        <v>7287</v>
      </c>
      <c r="F79" s="39" t="n">
        <f aca="false">H79*$C$26+H78*$D$26+H77*$E$26+H76*$F$26+H75*$G$26+H74*$H$26+H73*$I$26+H72*$J$26+H71*$K$26+H70*$L$26+H69*$M$26+H68*$N$26</f>
        <v>11920.6824917704</v>
      </c>
      <c r="G79" s="39" t="n">
        <f aca="false">BY78-Assumptions!$C$110-F78-Assumptions!$C$111*(Assumptions!$C$100+Assumptions!G$98/12+BC78)</f>
        <v>19097.3789490559</v>
      </c>
      <c r="H79" s="35" t="n">
        <f aca="false">IF(BE78&gt;0,0,MAX(0,MIN(D79,E79,INT(G79/$C$27))))</f>
        <v>0</v>
      </c>
      <c r="I79" s="35" t="n">
        <f aca="false">I78+H79</f>
        <v>1146</v>
      </c>
      <c r="J79" s="35" t="n">
        <f aca="false">SUM(H68:H79)</f>
        <v>855</v>
      </c>
      <c r="K79" s="35" t="n">
        <f aca="false">H79*$C$23+H78*$D$23+H77*$E$23+H76*$F$23+H75*$G$23+H74*$H$23+H73*$I$23+H72*$J$23+H71*$K$23+H70*$L$23+H69*$M$23+H68*$N$23</f>
        <v>637.6382</v>
      </c>
      <c r="L79" s="35" t="n">
        <f aca="false">SUM(H56:H67)</f>
        <v>215</v>
      </c>
      <c r="M79" s="35" t="n">
        <f aca="false">SUM(H44:H55)</f>
        <v>43</v>
      </c>
      <c r="N79" s="35" t="n">
        <f aca="false">SUM(H32:H43)</f>
        <v>19</v>
      </c>
      <c r="O79" s="35" t="n">
        <f aca="false">SUM(H31:H31)</f>
        <v>14</v>
      </c>
      <c r="P79" s="35" t="n">
        <f aca="false">J79*$C$6+L79*$D$6+M79*$E$6+N79*$F$6+O79*$G$6</f>
        <v>1135.28</v>
      </c>
      <c r="Q79" s="39" t="n">
        <f aca="false">K79*$C$7+L79*$D$7+M79*$E$7+N79*$F$7+O79*$G$7</f>
        <v>82264.7913248</v>
      </c>
      <c r="R79" s="39" t="n">
        <f aca="false">K79*$C$8+L79*$D$8+M79*$E$8+N79*$F$8+O79*$G$8</f>
        <v>55234.520030976</v>
      </c>
      <c r="S79" s="39" t="n">
        <f aca="false">K79*$C$9+L79*$D$9+M79*$E$9+N79*$F$9+O79*$G$9</f>
        <v>24793.5996</v>
      </c>
      <c r="T79" s="39" t="n">
        <f aca="false">K79*$C$10+L79*$D$10+M79*$E$10+N79*$F$10+O79*$G$10</f>
        <v>36187.9437087</v>
      </c>
      <c r="U79" s="39" t="n">
        <f aca="false">K79*$C$11+L79*$D$11+M79*$E$11+N79*$F$11+O79*$G$11</f>
        <v>34845.8922</v>
      </c>
      <c r="V79" s="39" t="n">
        <f aca="false">K79*$C$12+L79*$D$12+M79*$E$12+N79*$F$12+O79*$G$12</f>
        <v>9210.897024</v>
      </c>
      <c r="W79" s="39" t="n">
        <f aca="false">SUM(Q79:V79)</f>
        <v>242537.643888476</v>
      </c>
      <c r="X79" s="39" t="n">
        <f aca="false">J79*$C$14+L79*$D$14+M79*$E$14+N79*$F$14+O79*$G$14</f>
        <v>36119.8792666667</v>
      </c>
      <c r="Y79" s="39" t="n">
        <f aca="false">J79*$C$15+L79*$D$15+M79*$E$15+N79*$F$15+O79*$G$15</f>
        <v>28382</v>
      </c>
      <c r="Z79" s="39" t="n">
        <f aca="false">K79*$C$16+L79*$D$16+M79*$E$16+N79*$F$16+O79*$G$16</f>
        <v>461.32032779</v>
      </c>
      <c r="AA79" s="39" t="n">
        <f aca="false">K79*$C$17+L79*$D$17+M79*$E$17+N79*$F$17+O79*$G$17</f>
        <v>6530.1616446327</v>
      </c>
      <c r="AB79" s="39" t="n">
        <f aca="false">J79*$C$18+L79*$D$18+M79*$E$18+N79*$F$18+O79*$G$18</f>
        <v>467.133333333333</v>
      </c>
      <c r="AC79" s="39" t="n">
        <f aca="false">H79*Assumptions!$C$67*Assumptions!$F$10</f>
        <v>0</v>
      </c>
      <c r="AD79" s="39" t="n">
        <f aca="false">SUM(X79:AC79)</f>
        <v>71960.4945724227</v>
      </c>
      <c r="AE79" s="35" t="n">
        <f aca="false">K79*$C$20+L79*$D$20+M79*$E$20+N79*$F$20+O79*$G$20</f>
        <v>184528.131116</v>
      </c>
      <c r="AF79" s="35" t="n">
        <f aca="false">K79*$C$21+L79*$D$21+M79*$E$21+N79*$F$21+O79*$G$21</f>
        <v>10453878.3944</v>
      </c>
      <c r="AG79" s="35" t="n">
        <f aca="false">K79*$C$22+L79*$D$22+M79*$E$22+N79*$F$22+O79*$G$22</f>
        <v>8726.045784384</v>
      </c>
      <c r="AH79" s="37" t="n">
        <f aca="false">P79/Assumptions!$C$76</f>
        <v>1.13528</v>
      </c>
      <c r="AI79" s="37" t="n">
        <f aca="false">P79/Assumptions!$C$77</f>
        <v>1.13528</v>
      </c>
      <c r="AJ79" s="37" t="n">
        <f aca="false">P79/Assumptions!$C$78</f>
        <v>9.46066666666667</v>
      </c>
      <c r="AK79" s="37" t="n">
        <f aca="false">H79/(Assumptions!$C$19/12)</f>
        <v>0</v>
      </c>
      <c r="AL79" s="37" t="n">
        <f aca="false">Assumptions!G$92</f>
        <v>2</v>
      </c>
      <c r="AM79" s="37" t="n">
        <f aca="false">Assumptions!G$93</f>
        <v>6</v>
      </c>
      <c r="AN79" s="37" t="n">
        <f aca="false">Assumptions!G$94</f>
        <v>2</v>
      </c>
      <c r="AO79" s="37" t="n">
        <f aca="false">SUM(AH79:AN79)</f>
        <v>21.7312266666667</v>
      </c>
      <c r="AP79" s="39" t="n">
        <f aca="false">AH79*Assumptions!$C$85*(1+Assumptions!$C$73)*(1+Assumptions!$C$74)^4/12</f>
        <v>9317.05572158083</v>
      </c>
      <c r="AQ79" s="39" t="n">
        <f aca="false">AI79*Assumptions!$C$86*(1+Assumptions!$C$73)*(1+Assumptions!$C$74)^4/12</f>
        <v>8651.55174146792</v>
      </c>
      <c r="AR79" s="39" t="n">
        <f aca="false">AJ79*Assumptions!$C$87*(1+Assumptions!$C$73)*(1+Assumptions!$C$74)^4/12</f>
        <v>61004.5315103507</v>
      </c>
      <c r="AS79" s="39" t="n">
        <f aca="false">AK79*Assumptions!$C$85*(1+Assumptions!$C$73)*(1+Assumptions!$C$74)^4/12</f>
        <v>0</v>
      </c>
      <c r="AT79" s="39" t="n">
        <f aca="false">AL79*Assumptions!$C$83*(1+Assumptions!$C$73)*(1+Assumptions!$C$74)^4/12</f>
        <v>37516.9603333333</v>
      </c>
      <c r="AU79" s="39" t="n">
        <f aca="false">AM79*Assumptions!$C$84*(1+Assumptions!$C$73)*(1+Assumptions!$C$74)^4/12</f>
        <v>119585.3110625</v>
      </c>
      <c r="AV79" s="39" t="n">
        <f aca="false">AN79*Assumptions!$C$88*(1+Assumptions!$C$73)*(1+Assumptions!$C$74)^4/12</f>
        <v>25792.9102291667</v>
      </c>
      <c r="AW79" s="39" t="n">
        <f aca="false">SUM(AP79:AV79)</f>
        <v>261868.320598399</v>
      </c>
      <c r="AX79" s="39" t="n">
        <f aca="false">MIN(Assumptions!$C$80*W78,MAX(0,BS78+BC78))</f>
        <v>86662.072532364</v>
      </c>
      <c r="AY79" s="39" t="n">
        <f aca="false">IF(SUM(AH79:AK79)&lt;=0,0,MIN(AX79,SUM(AP79:AS79)*MAX(0,1-Assumptions!$C$79/SUM(AH79:AK79))))</f>
        <v>65509.3911118403</v>
      </c>
      <c r="AZ79" s="36" t="n">
        <f aca="false">IF(SUM(AP79:AS79)=0,0,AY79/SUM(AP79:AS79))</f>
        <v>0.829514844710755</v>
      </c>
      <c r="BA79" s="39" t="n">
        <f aca="false">MIN(AX79-AY79,SUM(AT79:AV79))</f>
        <v>21152.6814205237</v>
      </c>
      <c r="BB79" s="36" t="n">
        <f aca="false">IF(SUM(AT79:AV79)=0,0,BA79/SUM(AT79:AV79))</f>
        <v>0.115654667512752</v>
      </c>
      <c r="BC79" s="39" t="n">
        <f aca="false">AY79+BA79</f>
        <v>86662.072532364</v>
      </c>
      <c r="BD79" s="37" t="n">
        <f aca="false">SUM(AH79:AK79)*AZ79+SUM(AL79:AN79)*BB79</f>
        <v>10.8877733417942</v>
      </c>
      <c r="BE79" s="37" t="n">
        <f aca="false">MAX(0,SUM(AH79:AK79)*(1-AZ79)-Assumptions!$C$79)</f>
        <v>0</v>
      </c>
      <c r="BF79" s="39" t="n">
        <f aca="false">AP79*AZ79</f>
        <v>7728.63603004858</v>
      </c>
      <c r="BG79" s="39" t="n">
        <f aca="false">AQ79*AZ79</f>
        <v>7176.59059933082</v>
      </c>
      <c r="BH79" s="39" t="n">
        <f aca="false">AR79*AZ79</f>
        <v>50604.1644824609</v>
      </c>
      <c r="BI79" s="39" t="n">
        <f aca="false">AS79*AZ79</f>
        <v>0</v>
      </c>
      <c r="BJ79" s="39" t="n">
        <f aca="false">AT79*BB79</f>
        <v>4339.01157344076</v>
      </c>
      <c r="BK79" s="39" t="n">
        <f aca="false">AU79*BB79</f>
        <v>13830.5993903424</v>
      </c>
      <c r="BL79" s="39" t="n">
        <f aca="false">AV79*BB79</f>
        <v>2983.07045674052</v>
      </c>
      <c r="BM79" s="39" t="n">
        <f aca="false">H79*(Assumptions!$C$68+Assumptions!$C$66)*Assumptions!$F$10</f>
        <v>0</v>
      </c>
      <c r="BN79" s="39" t="n">
        <f aca="false">K79*$C$19+L79*$D$19+M79*$E$19+N79*$F$19+O79*$G$19</f>
        <v>0</v>
      </c>
      <c r="BO79" s="39" t="n">
        <f aca="false">Assumptions!$C$99*W79</f>
        <v>4850.75287776952</v>
      </c>
      <c r="BP79" s="39" t="n">
        <f aca="false">Assumptions!G$98/12+P79*Assumptions!$C$101/12</f>
        <v>11127.3333333333</v>
      </c>
      <c r="BQ79" s="39" t="n">
        <f aca="false">BD79*Assumptions!$C$102/12+Assumptions!$C$100</f>
        <v>2821.94333544855</v>
      </c>
      <c r="BR79" s="39" t="n">
        <f aca="false">SUM(BF79:BQ79)</f>
        <v>105462.102078915</v>
      </c>
      <c r="BS79" s="39" t="n">
        <f aca="false">W79-AD79-BR79</f>
        <v>65115.0472371379</v>
      </c>
      <c r="BT79" s="39" t="n">
        <f aca="false">MAX(0,BD79-BD78)*Assumptions!$C$103</f>
        <v>0</v>
      </c>
      <c r="BU79" s="39" t="n">
        <f aca="false">-'P&amp;L'!F24</f>
        <v>-92438.7621271135</v>
      </c>
      <c r="BV79" s="39" t="n">
        <f aca="false">-(W79-W78)*12*Assumptions!$C$108</f>
        <v>-9317.68652072377</v>
      </c>
      <c r="BW79" s="39" t="n">
        <f aca="false">Assumptions!G$114</f>
        <v>0</v>
      </c>
      <c r="BX79" s="39" t="n">
        <f aca="false">BS79-BT79+BU79+BV79+BW79</f>
        <v>-36641.4014106994</v>
      </c>
      <c r="BY79" s="29" t="n">
        <f aca="false">BY78+BX79</f>
        <v>331120.615723353</v>
      </c>
    </row>
    <row r="80" customFormat="false" ht="15" hidden="false" customHeight="false" outlineLevel="0" collapsed="false">
      <c r="A80" s="45" t="n">
        <v>50</v>
      </c>
      <c r="B80" s="45" t="n">
        <v>2031</v>
      </c>
      <c r="C80" s="45" t="n">
        <v>4</v>
      </c>
      <c r="D80" s="35" t="n">
        <f aca="false">ROUND(Assumptions!G$18*Assumptions!$F$7/12,0)</f>
        <v>250</v>
      </c>
      <c r="E80" s="35" t="n">
        <f aca="false">Rollout!$C$10-I79</f>
        <v>7287</v>
      </c>
      <c r="F80" s="39" t="n">
        <f aca="false">H80*$C$26+H79*$D$26+H78*$E$26+H77*$F$26+H76*$G$26+H75*$H$26+H74*$I$26+H73*$J$26+H72*$K$26+H71*$L$26+H70*$M$26+H69*$N$26</f>
        <v>3837.47905616573</v>
      </c>
      <c r="G80" s="39" t="n">
        <f aca="false">BY79-Assumptions!$C$110-F79-Assumptions!$C$111*(Assumptions!$C$100+Assumptions!G$98/12+BC79)</f>
        <v>-35515.0235645404</v>
      </c>
      <c r="H80" s="35" t="n">
        <f aca="false">IF(BE79&gt;0,0,MAX(0,MIN(D80,E80,INT(G80/$C$27))))</f>
        <v>0</v>
      </c>
      <c r="I80" s="35" t="n">
        <f aca="false">I79+H80</f>
        <v>1146</v>
      </c>
      <c r="J80" s="35" t="n">
        <f aca="false">SUM(H69:H80)</f>
        <v>855</v>
      </c>
      <c r="K80" s="35" t="n">
        <f aca="false">H80*$C$23+H79*$D$23+H78*$E$23+H77*$F$23+H76*$G$23+H75*$H$23+H74*$I$23+H73*$J$23+H72*$K$23+H71*$L$23+H70*$M$23+H69*$N$23</f>
        <v>793.0858</v>
      </c>
      <c r="L80" s="35" t="n">
        <f aca="false">SUM(H57:H68)</f>
        <v>215</v>
      </c>
      <c r="M80" s="35" t="n">
        <f aca="false">SUM(H45:H56)</f>
        <v>43</v>
      </c>
      <c r="N80" s="35" t="n">
        <f aca="false">SUM(H33:H44)</f>
        <v>19</v>
      </c>
      <c r="O80" s="35" t="n">
        <f aca="false">SUM(H31:H32)</f>
        <v>14</v>
      </c>
      <c r="P80" s="35" t="n">
        <f aca="false">J80*$C$6+L80*$D$6+M80*$E$6+N80*$F$6+O80*$G$6</f>
        <v>1135.28</v>
      </c>
      <c r="Q80" s="39" t="n">
        <f aca="false">K80*$C$7+L80*$D$7+M80*$E$7+N80*$F$7+O80*$G$7</f>
        <v>89873.0186592</v>
      </c>
      <c r="R80" s="39" t="n">
        <f aca="false">K80*$C$8+L80*$D$8+M80*$E$8+N80*$F$8+O80*$G$8</f>
        <v>59339.530508544</v>
      </c>
      <c r="S80" s="39" t="n">
        <f aca="false">K80*$C$9+L80*$D$9+M80*$E$9+N80*$F$9+O80*$G$9</f>
        <v>24793.5996</v>
      </c>
      <c r="T80" s="39" t="n">
        <f aca="false">K80*$C$10+L80*$D$10+M80*$E$10+N80*$F$10+O80*$G$10</f>
        <v>37603.0609353</v>
      </c>
      <c r="U80" s="39" t="n">
        <f aca="false">K80*$C$11+L80*$D$11+M80*$E$11+N80*$F$11+O80*$G$11</f>
        <v>38110.2918</v>
      </c>
      <c r="V80" s="39" t="n">
        <f aca="false">K80*$C$12+L80*$D$12+M80*$E$12+N80*$F$12+O80*$G$12</f>
        <v>9210.897024</v>
      </c>
      <c r="W80" s="39" t="n">
        <f aca="false">SUM(Q80:V80)</f>
        <v>258930.398527044</v>
      </c>
      <c r="X80" s="39" t="n">
        <f aca="false">J80*$C$14+L80*$D$14+M80*$E$14+N80*$F$14+O80*$G$14</f>
        <v>36119.8792666667</v>
      </c>
      <c r="Y80" s="39" t="n">
        <f aca="false">J80*$C$15+L80*$D$15+M80*$E$15+N80*$F$15+O80*$G$15</f>
        <v>28382</v>
      </c>
      <c r="Z80" s="39" t="n">
        <f aca="false">K80*$C$16+L80*$D$16+M80*$E$16+N80*$F$16+O80*$G$16</f>
        <v>508.49090201</v>
      </c>
      <c r="AA80" s="39" t="n">
        <f aca="false">K80*$C$17+L80*$D$17+M80*$E$17+N80*$F$17+O80*$G$17</f>
        <v>7097.28652085338</v>
      </c>
      <c r="AB80" s="39" t="n">
        <f aca="false">J80*$C$18+L80*$D$18+M80*$E$18+N80*$F$18+O80*$G$18</f>
        <v>467.133333333333</v>
      </c>
      <c r="AC80" s="39" t="n">
        <f aca="false">H80*Assumptions!$C$67*Assumptions!$F$10</f>
        <v>0</v>
      </c>
      <c r="AD80" s="39" t="n">
        <f aca="false">SUM(X80:AC80)</f>
        <v>72574.7900228634</v>
      </c>
      <c r="AE80" s="35" t="n">
        <f aca="false">K80*$C$20+L80*$D$20+M80*$E$20+N80*$F$20+O80*$G$20</f>
        <v>203396.360804</v>
      </c>
      <c r="AF80" s="35" t="n">
        <f aca="false">K80*$C$21+L80*$D$21+M80*$E$21+N80*$F$21+O80*$G$21</f>
        <v>11711760.3736</v>
      </c>
      <c r="AG80" s="35" t="n">
        <f aca="false">K80*$C$22+L80*$D$22+M80*$E$22+N80*$F$22+O80*$G$22</f>
        <v>9484.182383296</v>
      </c>
      <c r="AH80" s="37" t="n">
        <f aca="false">P80/Assumptions!$C$76</f>
        <v>1.13528</v>
      </c>
      <c r="AI80" s="37" t="n">
        <f aca="false">P80/Assumptions!$C$77</f>
        <v>1.13528</v>
      </c>
      <c r="AJ80" s="37" t="n">
        <f aca="false">P80/Assumptions!$C$78</f>
        <v>9.46066666666667</v>
      </c>
      <c r="AK80" s="37" t="n">
        <f aca="false">H80/(Assumptions!$C$19/12)</f>
        <v>0</v>
      </c>
      <c r="AL80" s="37" t="n">
        <f aca="false">Assumptions!G$92</f>
        <v>2</v>
      </c>
      <c r="AM80" s="37" t="n">
        <f aca="false">Assumptions!G$93</f>
        <v>6</v>
      </c>
      <c r="AN80" s="37" t="n">
        <f aca="false">Assumptions!G$94</f>
        <v>2</v>
      </c>
      <c r="AO80" s="37" t="n">
        <f aca="false">SUM(AH80:AN80)</f>
        <v>21.7312266666667</v>
      </c>
      <c r="AP80" s="39" t="n">
        <f aca="false">AH80*Assumptions!$C$85*(1+Assumptions!$C$73)*(1+Assumptions!$C$74)^4/12</f>
        <v>9317.05572158083</v>
      </c>
      <c r="AQ80" s="39" t="n">
        <f aca="false">AI80*Assumptions!$C$86*(1+Assumptions!$C$73)*(1+Assumptions!$C$74)^4/12</f>
        <v>8651.55174146792</v>
      </c>
      <c r="AR80" s="39" t="n">
        <f aca="false">AJ80*Assumptions!$C$87*(1+Assumptions!$C$73)*(1+Assumptions!$C$74)^4/12</f>
        <v>61004.5315103507</v>
      </c>
      <c r="AS80" s="39" t="n">
        <f aca="false">AK80*Assumptions!$C$85*(1+Assumptions!$C$73)*(1+Assumptions!$C$74)^4/12</f>
        <v>0</v>
      </c>
      <c r="AT80" s="39" t="n">
        <f aca="false">AL80*Assumptions!$C$83*(1+Assumptions!$C$73)*(1+Assumptions!$C$74)^4/12</f>
        <v>37516.9603333333</v>
      </c>
      <c r="AU80" s="39" t="n">
        <f aca="false">AM80*Assumptions!$C$84*(1+Assumptions!$C$73)*(1+Assumptions!$C$74)^4/12</f>
        <v>119585.3110625</v>
      </c>
      <c r="AV80" s="39" t="n">
        <f aca="false">AN80*Assumptions!$C$88*(1+Assumptions!$C$73)*(1+Assumptions!$C$74)^4/12</f>
        <v>25792.9102291667</v>
      </c>
      <c r="AW80" s="39" t="n">
        <f aca="false">SUM(AP80:AV80)</f>
        <v>261868.320598399</v>
      </c>
      <c r="AX80" s="39" t="n">
        <f aca="false">MIN(Assumptions!$C$80*W79,MAX(0,BS79+BC79))</f>
        <v>97015.0575553904</v>
      </c>
      <c r="AY80" s="39" t="n">
        <f aca="false">IF(SUM(AH80:AK80)&lt;=0,0,MIN(AX80,SUM(AP80:AS80)*MAX(0,1-Assumptions!$C$79/SUM(AH80:AK80))))</f>
        <v>65509.3911118403</v>
      </c>
      <c r="AZ80" s="36" t="n">
        <f aca="false">IF(SUM(AP80:AS80)=0,0,AY80/SUM(AP80:AS80))</f>
        <v>0.829514844710755</v>
      </c>
      <c r="BA80" s="39" t="n">
        <f aca="false">MIN(AX80-AY80,SUM(AT80:AV80))</f>
        <v>31505.6664435501</v>
      </c>
      <c r="BB80" s="36" t="n">
        <f aca="false">IF(SUM(AT80:AV80)=0,0,BA80/SUM(AT80:AV80))</f>
        <v>0.172260778898746</v>
      </c>
      <c r="BC80" s="39" t="n">
        <f aca="false">AY80+BA80</f>
        <v>97015.0575553904</v>
      </c>
      <c r="BD80" s="37" t="n">
        <f aca="false">SUM(AH80:AK80)*AZ80+SUM(AL80:AN80)*BB80</f>
        <v>11.4538344556541</v>
      </c>
      <c r="BE80" s="37" t="n">
        <f aca="false">MAX(0,SUM(AH80:AK80)*(1-AZ80)-Assumptions!$C$79)</f>
        <v>0</v>
      </c>
      <c r="BF80" s="39" t="n">
        <f aca="false">AP80*AZ80</f>
        <v>7728.63603004858</v>
      </c>
      <c r="BG80" s="39" t="n">
        <f aca="false">AQ80*AZ80</f>
        <v>7176.59059933082</v>
      </c>
      <c r="BH80" s="39" t="n">
        <f aca="false">AR80*AZ80</f>
        <v>50604.1644824609</v>
      </c>
      <c r="BI80" s="39" t="n">
        <f aca="false">AS80*AZ80</f>
        <v>0</v>
      </c>
      <c r="BJ80" s="39" t="n">
        <f aca="false">AT80*BB80</f>
        <v>6462.70080893335</v>
      </c>
      <c r="BK80" s="39" t="n">
        <f aca="false">AU80*BB80</f>
        <v>20599.8588284751</v>
      </c>
      <c r="BL80" s="39" t="n">
        <f aca="false">AV80*BB80</f>
        <v>4443.10680614168</v>
      </c>
      <c r="BM80" s="39" t="n">
        <f aca="false">H80*(Assumptions!$C$68+Assumptions!$C$66)*Assumptions!$F$10</f>
        <v>0</v>
      </c>
      <c r="BN80" s="39" t="n">
        <f aca="false">K80*$C$19+L80*$D$19+M80*$E$19+N80*$F$19+O80*$G$19</f>
        <v>0</v>
      </c>
      <c r="BO80" s="39" t="n">
        <f aca="false">Assumptions!$C$99*W80</f>
        <v>5178.60797054088</v>
      </c>
      <c r="BP80" s="39" t="n">
        <f aca="false">Assumptions!G$98/12+P80*Assumptions!$C$101/12</f>
        <v>11127.3333333333</v>
      </c>
      <c r="BQ80" s="39" t="n">
        <f aca="false">BD80*Assumptions!$C$102/12+Assumptions!$C$100</f>
        <v>2963.45861391353</v>
      </c>
      <c r="BR80" s="39" t="n">
        <f aca="false">SUM(BF80:BQ80)</f>
        <v>116284.457473178</v>
      </c>
      <c r="BS80" s="39" t="n">
        <f aca="false">W80-AD80-BR80</f>
        <v>70071.1510310025</v>
      </c>
      <c r="BT80" s="39" t="n">
        <f aca="false">MAX(0,BD80-BD79)*Assumptions!$C$103</f>
        <v>1415.15278464986</v>
      </c>
      <c r="BU80" s="39" t="n">
        <f aca="false">0</f>
        <v>0</v>
      </c>
      <c r="BV80" s="39" t="n">
        <f aca="false">-(W80-W79)*12*Assumptions!$C$108</f>
        <v>-5901.39166988448</v>
      </c>
      <c r="BW80" s="39" t="n">
        <f aca="false">0</f>
        <v>0</v>
      </c>
      <c r="BX80" s="39" t="n">
        <f aca="false">BS80-BT80+BU80+BV80+BW80</f>
        <v>62754.6065764682</v>
      </c>
      <c r="BY80" s="29" t="n">
        <f aca="false">BY79+BX80</f>
        <v>393875.222299821</v>
      </c>
    </row>
    <row r="81" customFormat="false" ht="15" hidden="false" customHeight="false" outlineLevel="0" collapsed="false">
      <c r="A81" s="45" t="n">
        <v>51</v>
      </c>
      <c r="B81" s="45" t="n">
        <v>2031</v>
      </c>
      <c r="C81" s="45" t="n">
        <v>4</v>
      </c>
      <c r="D81" s="35" t="n">
        <f aca="false">ROUND(Assumptions!G$18*Assumptions!$F$7/12,0)</f>
        <v>250</v>
      </c>
      <c r="E81" s="35" t="n">
        <f aca="false">Rollout!$C$10-I80</f>
        <v>7287</v>
      </c>
      <c r="F81" s="39" t="n">
        <f aca="false">H81*$C$26+H80*$D$26+H79*$E$26+H78*$F$26+H77*$G$26+H76*$H$26+H75*$I$26+H74*$J$26+H73*$K$26+H72*$L$26+H71*$M$26+H70*$N$26</f>
        <v>0</v>
      </c>
      <c r="G81" s="39" t="n">
        <f aca="false">BY80-Assumptions!$C$110-F80-Assumptions!$C$111*(Assumptions!$C$100+Assumptions!G$98/12+BC80)</f>
        <v>-6089.15364457323</v>
      </c>
      <c r="H81" s="35" t="n">
        <f aca="false">IF(BE80&gt;0,0,MAX(0,MIN(D81,E81,INT(G81/$C$27))))</f>
        <v>0</v>
      </c>
      <c r="I81" s="35" t="n">
        <f aca="false">I80+H81</f>
        <v>1146</v>
      </c>
      <c r="J81" s="35" t="n">
        <f aca="false">SUM(H70:H81)</f>
        <v>855</v>
      </c>
      <c r="K81" s="35" t="n">
        <f aca="false">H81*$C$23+H80*$D$23+H79*$E$23+H78*$F$23+H77*$G$23+H76*$H$23+H75*$I$23+H74*$J$23+H73*$K$23+H72*$L$23+H71*$M$23+H70*$N$23</f>
        <v>948.5579</v>
      </c>
      <c r="L81" s="35" t="n">
        <f aca="false">SUM(H58:H69)</f>
        <v>215</v>
      </c>
      <c r="M81" s="35" t="n">
        <f aca="false">SUM(H46:H57)</f>
        <v>43</v>
      </c>
      <c r="N81" s="35" t="n">
        <f aca="false">SUM(H34:H45)</f>
        <v>19</v>
      </c>
      <c r="O81" s="35" t="n">
        <f aca="false">SUM(H31:H33)</f>
        <v>14</v>
      </c>
      <c r="P81" s="35" t="n">
        <f aca="false">J81*$C$6+L81*$D$6+M81*$E$6+N81*$F$6+O81*$G$6</f>
        <v>1135.28</v>
      </c>
      <c r="Q81" s="39" t="n">
        <f aca="false">K81*$C$7+L81*$D$7+M81*$E$7+N81*$F$7+O81*$G$7</f>
        <v>97482.4451216</v>
      </c>
      <c r="R81" s="39" t="n">
        <f aca="false">K81*$C$8+L81*$D$8+M81*$E$8+N81*$F$8+O81*$G$8</f>
        <v>63445.187974272</v>
      </c>
      <c r="S81" s="39" t="n">
        <f aca="false">K81*$C$9+L81*$D$9+M81*$E$9+N81*$F$9+O81*$G$9</f>
        <v>24793.5996</v>
      </c>
      <c r="T81" s="39" t="n">
        <f aca="false">K81*$C$10+L81*$D$10+M81*$E$10+N81*$F$10+O81*$G$10</f>
        <v>39018.40119765</v>
      </c>
      <c r="U81" s="39" t="n">
        <f aca="false">K81*$C$11+L81*$D$11+M81*$E$11+N81*$F$11+O81*$G$11</f>
        <v>41375.2059</v>
      </c>
      <c r="V81" s="39" t="n">
        <f aca="false">K81*$C$12+L81*$D$12+M81*$E$12+N81*$F$12+O81*$G$12</f>
        <v>9210.897024</v>
      </c>
      <c r="W81" s="39" t="n">
        <f aca="false">SUM(Q81:V81)</f>
        <v>275325.736817522</v>
      </c>
      <c r="X81" s="39" t="n">
        <f aca="false">J81*$C$14+L81*$D$14+M81*$E$14+N81*$F$14+O81*$G$14</f>
        <v>36119.8792666667</v>
      </c>
      <c r="Y81" s="39" t="n">
        <f aca="false">J81*$C$15+L81*$D$15+M81*$E$15+N81*$F$15+O81*$G$15</f>
        <v>28382</v>
      </c>
      <c r="Z81" s="39" t="n">
        <f aca="false">K81*$C$16+L81*$D$16+M81*$E$16+N81*$F$16+O81*$G$16</f>
        <v>555.668910755</v>
      </c>
      <c r="AA81" s="39" t="n">
        <f aca="false">K81*$C$17+L81*$D$17+M81*$E$17+N81*$F$17+O81*$G$17</f>
        <v>7664.50078127469</v>
      </c>
      <c r="AB81" s="39" t="n">
        <f aca="false">J81*$C$18+L81*$D$18+M81*$E$18+N81*$F$18+O81*$G$18</f>
        <v>467.133333333333</v>
      </c>
      <c r="AC81" s="39" t="n">
        <f aca="false">H81*Assumptions!$C$67*Assumptions!$F$10</f>
        <v>0</v>
      </c>
      <c r="AD81" s="39" t="n">
        <f aca="false">SUM(X81:AC81)</f>
        <v>73189.1822920297</v>
      </c>
      <c r="AE81" s="35" t="n">
        <f aca="false">K81*$C$20+L81*$D$20+M81*$E$20+N81*$F$20+O81*$G$20</f>
        <v>222267.564302</v>
      </c>
      <c r="AF81" s="35" t="n">
        <f aca="false">K81*$C$21+L81*$D$21+M81*$E$21+N81*$F$21+O81*$G$21</f>
        <v>12969840.6068</v>
      </c>
      <c r="AG81" s="35" t="n">
        <f aca="false">K81*$C$22+L81*$D$22+M81*$E$22+N81*$F$22+O81*$G$22</f>
        <v>10242.438471648</v>
      </c>
      <c r="AH81" s="37" t="n">
        <f aca="false">P81/Assumptions!$C$76</f>
        <v>1.13528</v>
      </c>
      <c r="AI81" s="37" t="n">
        <f aca="false">P81/Assumptions!$C$77</f>
        <v>1.13528</v>
      </c>
      <c r="AJ81" s="37" t="n">
        <f aca="false">P81/Assumptions!$C$78</f>
        <v>9.46066666666667</v>
      </c>
      <c r="AK81" s="37" t="n">
        <f aca="false">H81/(Assumptions!$C$19/12)</f>
        <v>0</v>
      </c>
      <c r="AL81" s="37" t="n">
        <f aca="false">Assumptions!G$92</f>
        <v>2</v>
      </c>
      <c r="AM81" s="37" t="n">
        <f aca="false">Assumptions!G$93</f>
        <v>6</v>
      </c>
      <c r="AN81" s="37" t="n">
        <f aca="false">Assumptions!G$94</f>
        <v>2</v>
      </c>
      <c r="AO81" s="37" t="n">
        <f aca="false">SUM(AH81:AN81)</f>
        <v>21.7312266666667</v>
      </c>
      <c r="AP81" s="39" t="n">
        <f aca="false">AH81*Assumptions!$C$85*(1+Assumptions!$C$73)*(1+Assumptions!$C$74)^4/12</f>
        <v>9317.05572158083</v>
      </c>
      <c r="AQ81" s="39" t="n">
        <f aca="false">AI81*Assumptions!$C$86*(1+Assumptions!$C$73)*(1+Assumptions!$C$74)^4/12</f>
        <v>8651.55174146792</v>
      </c>
      <c r="AR81" s="39" t="n">
        <f aca="false">AJ81*Assumptions!$C$87*(1+Assumptions!$C$73)*(1+Assumptions!$C$74)^4/12</f>
        <v>61004.5315103507</v>
      </c>
      <c r="AS81" s="39" t="n">
        <f aca="false">AK81*Assumptions!$C$85*(1+Assumptions!$C$73)*(1+Assumptions!$C$74)^4/12</f>
        <v>0</v>
      </c>
      <c r="AT81" s="39" t="n">
        <f aca="false">AL81*Assumptions!$C$83*(1+Assumptions!$C$73)*(1+Assumptions!$C$74)^4/12</f>
        <v>37516.9603333333</v>
      </c>
      <c r="AU81" s="39" t="n">
        <f aca="false">AM81*Assumptions!$C$84*(1+Assumptions!$C$73)*(1+Assumptions!$C$74)^4/12</f>
        <v>119585.3110625</v>
      </c>
      <c r="AV81" s="39" t="n">
        <f aca="false">AN81*Assumptions!$C$88*(1+Assumptions!$C$73)*(1+Assumptions!$C$74)^4/12</f>
        <v>25792.9102291667</v>
      </c>
      <c r="AW81" s="39" t="n">
        <f aca="false">SUM(AP81:AV81)</f>
        <v>261868.320598399</v>
      </c>
      <c r="AX81" s="39" t="n">
        <f aca="false">MIN(Assumptions!$C$80*W80,MAX(0,BS80+BC80))</f>
        <v>103572.159410818</v>
      </c>
      <c r="AY81" s="39" t="n">
        <f aca="false">IF(SUM(AH81:AK81)&lt;=0,0,MIN(AX81,SUM(AP81:AS81)*MAX(0,1-Assumptions!$C$79/SUM(AH81:AK81))))</f>
        <v>65509.3911118403</v>
      </c>
      <c r="AZ81" s="36" t="n">
        <f aca="false">IF(SUM(AP81:AS81)=0,0,AY81/SUM(AP81:AS81))</f>
        <v>0.829514844710755</v>
      </c>
      <c r="BA81" s="39" t="n">
        <f aca="false">MIN(AX81-AY81,SUM(AT81:AV81))</f>
        <v>38062.7682989773</v>
      </c>
      <c r="BB81" s="36" t="n">
        <f aca="false">IF(SUM(AT81:AV81)=0,0,BA81/SUM(AT81:AV81))</f>
        <v>0.208112471639737</v>
      </c>
      <c r="BC81" s="39" t="n">
        <f aca="false">AY81+BA81</f>
        <v>103572.159410818</v>
      </c>
      <c r="BD81" s="37" t="n">
        <f aca="false">SUM(AH81:AK81)*AZ81+SUM(AL81:AN81)*BB81</f>
        <v>11.812351383064</v>
      </c>
      <c r="BE81" s="37" t="n">
        <f aca="false">MAX(0,SUM(AH81:AK81)*(1-AZ81)-Assumptions!$C$79)</f>
        <v>0</v>
      </c>
      <c r="BF81" s="39" t="n">
        <f aca="false">AP81*AZ81</f>
        <v>7728.63603004858</v>
      </c>
      <c r="BG81" s="39" t="n">
        <f aca="false">AQ81*AZ81</f>
        <v>7176.59059933082</v>
      </c>
      <c r="BH81" s="39" t="n">
        <f aca="false">AR81*AZ81</f>
        <v>50604.1644824609</v>
      </c>
      <c r="BI81" s="39" t="n">
        <f aca="false">AS81*AZ81</f>
        <v>0</v>
      </c>
      <c r="BJ81" s="39" t="n">
        <f aca="false">AT81*BB81</f>
        <v>7807.74734337996</v>
      </c>
      <c r="BK81" s="39" t="n">
        <f aca="false">AU81*BB81</f>
        <v>24887.1946570236</v>
      </c>
      <c r="BL81" s="39" t="n">
        <f aca="false">AV81*BB81</f>
        <v>5367.82629857372</v>
      </c>
      <c r="BM81" s="39" t="n">
        <f aca="false">H81*(Assumptions!$C$68+Assumptions!$C$66)*Assumptions!$F$10</f>
        <v>0</v>
      </c>
      <c r="BN81" s="39" t="n">
        <f aca="false">K81*$C$19+L81*$D$19+M81*$E$19+N81*$F$19+O81*$G$19</f>
        <v>0</v>
      </c>
      <c r="BO81" s="39" t="n">
        <f aca="false">Assumptions!$C$99*W81</f>
        <v>5506.51473635044</v>
      </c>
      <c r="BP81" s="39" t="n">
        <f aca="false">Assumptions!G$98/12+P81*Assumptions!$C$101/12</f>
        <v>11127.3333333333</v>
      </c>
      <c r="BQ81" s="39" t="n">
        <f aca="false">BD81*Assumptions!$C$102/12+Assumptions!$C$100</f>
        <v>3053.08784576601</v>
      </c>
      <c r="BR81" s="39" t="n">
        <f aca="false">SUM(BF81:BQ81)</f>
        <v>123259.095326267</v>
      </c>
      <c r="BS81" s="39" t="n">
        <f aca="false">W81-AD81-BR81</f>
        <v>78877.459199225</v>
      </c>
      <c r="BT81" s="39" t="n">
        <f aca="false">MAX(0,BD81-BD80)*Assumptions!$C$103</f>
        <v>896.292318524767</v>
      </c>
      <c r="BU81" s="39" t="n">
        <f aca="false">0</f>
        <v>0</v>
      </c>
      <c r="BV81" s="39" t="n">
        <f aca="false">-(W81-W80)*12*Assumptions!$C$108</f>
        <v>-5902.32178457209</v>
      </c>
      <c r="BW81" s="39" t="n">
        <f aca="false">0</f>
        <v>0</v>
      </c>
      <c r="BX81" s="39" t="n">
        <f aca="false">BS81-BT81+BU81+BV81+BW81</f>
        <v>72078.8450961281</v>
      </c>
      <c r="BY81" s="29" t="n">
        <f aca="false">BY80+BX81</f>
        <v>465954.067395949</v>
      </c>
    </row>
    <row r="82" customFormat="false" ht="15" hidden="false" customHeight="false" outlineLevel="0" collapsed="false">
      <c r="A82" s="45" t="n">
        <v>52</v>
      </c>
      <c r="B82" s="45" t="n">
        <v>2031</v>
      </c>
      <c r="C82" s="45" t="n">
        <v>4</v>
      </c>
      <c r="D82" s="35" t="n">
        <f aca="false">ROUND(Assumptions!G$18*Assumptions!$F$7/12,0)</f>
        <v>250</v>
      </c>
      <c r="E82" s="35" t="n">
        <f aca="false">Rollout!$C$10-I81</f>
        <v>7287</v>
      </c>
      <c r="F82" s="39" t="n">
        <f aca="false">H82*$C$26+H81*$D$26+H80*$E$26+H79*$F$26+H78*$G$26+H77*$H$26+H76*$I$26+H75*$J$26+H74*$K$26+H73*$L$26+H72*$M$26+H71*$N$26</f>
        <v>21823.3340078517</v>
      </c>
      <c r="G82" s="39" t="n">
        <f aca="false">BY81-Assumptions!$C$110-F81-Assumptions!$C$111*(Assumptions!$C$100+Assumptions!G$98/12+BC81)</f>
        <v>43598.7630860118</v>
      </c>
      <c r="H82" s="35" t="n">
        <f aca="false">IF(BE81&gt;0,0,MAX(0,MIN(D82,E82,INT(G82/$C$27))))</f>
        <v>207</v>
      </c>
      <c r="I82" s="35" t="n">
        <f aca="false">I81+H82</f>
        <v>1353</v>
      </c>
      <c r="J82" s="35" t="n">
        <f aca="false">SUM(H71:H82)</f>
        <v>1031</v>
      </c>
      <c r="K82" s="35" t="n">
        <f aca="false">H82*$C$23+H81*$D$23+H80*$E$23+H79*$F$23+H78*$G$23+H77*$H$23+H76*$I$23+H75*$J$23+H74*$K$23+H73*$L$23+H72*$M$23+H71*$N$23</f>
        <v>1036.3611</v>
      </c>
      <c r="L82" s="35" t="n">
        <f aca="false">SUM(H59:H70)</f>
        <v>246</v>
      </c>
      <c r="M82" s="35" t="n">
        <f aca="false">SUM(H47:H58)</f>
        <v>43</v>
      </c>
      <c r="N82" s="35" t="n">
        <f aca="false">SUM(H35:H46)</f>
        <v>19</v>
      </c>
      <c r="O82" s="35" t="n">
        <f aca="false">SUM(H31:H34)</f>
        <v>14</v>
      </c>
      <c r="P82" s="35" t="n">
        <f aca="false">J82*$C$6+L82*$D$6+M82*$E$6+N82*$F$6+O82*$G$6</f>
        <v>1341.35</v>
      </c>
      <c r="Q82" s="39" t="n">
        <f aca="false">K82*$C$7+L82*$D$7+M82*$E$7+N82*$F$7+O82*$G$7</f>
        <v>106195.1231824</v>
      </c>
      <c r="R82" s="39" t="n">
        <f aca="false">K82*$C$8+L82*$D$8+M82*$E$8+N82*$F$8+O82*$G$8</f>
        <v>68741.662798848</v>
      </c>
      <c r="S82" s="39" t="n">
        <f aca="false">K82*$C$9+L82*$D$9+M82*$E$9+N82*$F$9+O82*$G$9</f>
        <v>26460.6804</v>
      </c>
      <c r="T82" s="39" t="n">
        <f aca="false">K82*$C$10+L82*$D$10+M82*$E$10+N82*$F$10+O82*$G$10</f>
        <v>42007.65558885</v>
      </c>
      <c r="U82" s="39" t="n">
        <f aca="false">K82*$C$11+L82*$D$11+M82*$E$11+N82*$F$11+O82*$G$11</f>
        <v>45113.4831</v>
      </c>
      <c r="V82" s="39" t="n">
        <f aca="false">K82*$C$12+L82*$D$12+M82*$E$12+N82*$F$12+O82*$G$12</f>
        <v>9210.897024</v>
      </c>
      <c r="W82" s="39" t="n">
        <f aca="false">SUM(Q82:V82)</f>
        <v>297729.502094098</v>
      </c>
      <c r="X82" s="39" t="n">
        <f aca="false">J82*$C$14+L82*$D$14+M82*$E$14+N82*$F$14+O82*$G$14</f>
        <v>42676.1680416667</v>
      </c>
      <c r="Y82" s="39" t="n">
        <f aca="false">J82*$C$15+L82*$D$15+M82*$E$15+N82*$F$15+O82*$G$15</f>
        <v>33533.75</v>
      </c>
      <c r="Z82" s="39" t="n">
        <f aca="false">K82*$C$16+L82*$D$16+M82*$E$16+N82*$F$16+O82*$G$16</f>
        <v>606.645435795</v>
      </c>
      <c r="AA82" s="39" t="n">
        <f aca="false">K82*$C$17+L82*$D$17+M82*$E$17+N82*$F$17+O82*$G$17</f>
        <v>8335.80496098579</v>
      </c>
      <c r="AB82" s="39" t="n">
        <f aca="false">J82*$C$18+L82*$D$18+M82*$E$18+N82*$F$18+O82*$G$18</f>
        <v>517.25</v>
      </c>
      <c r="AC82" s="39" t="n">
        <f aca="false">H82*Assumptions!$C$67*Assumptions!$F$10</f>
        <v>3105</v>
      </c>
      <c r="AD82" s="39" t="n">
        <f aca="false">SUM(X82:AC82)</f>
        <v>88774.6184384475</v>
      </c>
      <c r="AE82" s="35" t="n">
        <f aca="false">K82*$C$20+L82*$D$20+M82*$E$20+N82*$F$20+O82*$G$20</f>
        <v>242658.174318</v>
      </c>
      <c r="AF82" s="35" t="n">
        <f aca="false">K82*$C$21+L82*$D$21+M82*$E$21+N82*$F$21+O82*$G$21</f>
        <v>14166996.9812</v>
      </c>
      <c r="AG82" s="35" t="n">
        <f aca="false">K82*$C$22+L82*$D$22+M82*$E$22+N82*$F$22+O82*$G$22</f>
        <v>11142.740158432</v>
      </c>
      <c r="AH82" s="37" t="n">
        <f aca="false">P82/Assumptions!$C$76</f>
        <v>1.34135</v>
      </c>
      <c r="AI82" s="37" t="n">
        <f aca="false">P82/Assumptions!$C$77</f>
        <v>1.34135</v>
      </c>
      <c r="AJ82" s="37" t="n">
        <f aca="false">P82/Assumptions!$C$78</f>
        <v>11.1779166666667</v>
      </c>
      <c r="AK82" s="37" t="n">
        <f aca="false">H82/(Assumptions!$C$19/12)</f>
        <v>6.21</v>
      </c>
      <c r="AL82" s="37" t="n">
        <f aca="false">Assumptions!G$92</f>
        <v>2</v>
      </c>
      <c r="AM82" s="37" t="n">
        <f aca="false">Assumptions!G$93</f>
        <v>6</v>
      </c>
      <c r="AN82" s="37" t="n">
        <f aca="false">Assumptions!G$94</f>
        <v>2</v>
      </c>
      <c r="AO82" s="37" t="n">
        <f aca="false">SUM(AH82:AN82)</f>
        <v>30.0706166666667</v>
      </c>
      <c r="AP82" s="39" t="n">
        <f aca="false">AH82*Assumptions!$C$85*(1+Assumptions!$C$73)*(1+Assumptions!$C$74)^4/12</f>
        <v>11008.2382250568</v>
      </c>
      <c r="AQ82" s="39" t="n">
        <f aca="false">AI82*Assumptions!$C$86*(1+Assumptions!$C$73)*(1+Assumptions!$C$74)^4/12</f>
        <v>10221.9354946956</v>
      </c>
      <c r="AR82" s="39" t="n">
        <f aca="false">AJ82*Assumptions!$C$87*(1+Assumptions!$C$73)*(1+Assumptions!$C$74)^4/12</f>
        <v>72077.7502831098</v>
      </c>
      <c r="AS82" s="39" t="n">
        <f aca="false">AK82*Assumptions!$C$85*(1+Assumptions!$C$73)*(1+Assumptions!$C$74)^4/12</f>
        <v>50964.4458028125</v>
      </c>
      <c r="AT82" s="39" t="n">
        <f aca="false">AL82*Assumptions!$C$83*(1+Assumptions!$C$73)*(1+Assumptions!$C$74)^4/12</f>
        <v>37516.9603333333</v>
      </c>
      <c r="AU82" s="39" t="n">
        <f aca="false">AM82*Assumptions!$C$84*(1+Assumptions!$C$73)*(1+Assumptions!$C$74)^4/12</f>
        <v>119585.3110625</v>
      </c>
      <c r="AV82" s="39" t="n">
        <f aca="false">AN82*Assumptions!$C$88*(1+Assumptions!$C$73)*(1+Assumptions!$C$74)^4/12</f>
        <v>25792.9102291667</v>
      </c>
      <c r="AW82" s="39" t="n">
        <f aca="false">SUM(AP82:AV82)</f>
        <v>327167.551430675</v>
      </c>
      <c r="AX82" s="39" t="n">
        <f aca="false">MIN(Assumptions!$C$80*W81,MAX(0,BS81+BC81))</f>
        <v>110130.294727009</v>
      </c>
      <c r="AY82" s="39" t="n">
        <f aca="false">IF(SUM(AH82:AK82)&lt;=0,0,MIN(AX82,SUM(AP82:AS82)*MAX(0,1-Assumptions!$C$79/SUM(AH82:AK82))))</f>
        <v>110130.294727009</v>
      </c>
      <c r="AZ82" s="36" t="n">
        <f aca="false">IF(SUM(AP82:AS82)=0,0,AY82/SUM(AP82:AS82))</f>
        <v>0.763349869939387</v>
      </c>
      <c r="BA82" s="39" t="n">
        <f aca="false">MIN(AX82-AY82,SUM(AT82:AV82))</f>
        <v>0</v>
      </c>
      <c r="BB82" s="36" t="n">
        <f aca="false">IF(SUM(AT82:AV82)=0,0,BA82/SUM(AT82:AV82))</f>
        <v>0</v>
      </c>
      <c r="BC82" s="39" t="n">
        <f aca="false">AY82+BA82</f>
        <v>110130.294727009</v>
      </c>
      <c r="BD82" s="37" t="n">
        <f aca="false">SUM(AH82:AK82)*AZ82+SUM(AL82:AN82)*BB82</f>
        <v>15.3209026221033</v>
      </c>
      <c r="BE82" s="37" t="n">
        <f aca="false">MAX(0,SUM(AH82:AK82)*(1-AZ82)-Assumptions!$C$79)</f>
        <v>2.74971404456338</v>
      </c>
      <c r="BF82" s="39" t="n">
        <f aca="false">AP82*AZ82</f>
        <v>8403.13721735887</v>
      </c>
      <c r="BG82" s="39" t="n">
        <f aca="false">AQ82*AZ82</f>
        <v>7802.91313040466</v>
      </c>
      <c r="BH82" s="39" t="n">
        <f aca="false">AR82*AZ82</f>
        <v>55020.5413041354</v>
      </c>
      <c r="BI82" s="39" t="n">
        <f aca="false">AS82*AZ82</f>
        <v>38903.7030751098</v>
      </c>
      <c r="BJ82" s="39" t="n">
        <f aca="false">AT82*BB82</f>
        <v>0</v>
      </c>
      <c r="BK82" s="39" t="n">
        <f aca="false">AU82*BB82</f>
        <v>0</v>
      </c>
      <c r="BL82" s="39" t="n">
        <f aca="false">AV82*BB82</f>
        <v>0</v>
      </c>
      <c r="BM82" s="39" t="n">
        <f aca="false">H82*(Assumptions!$C$68+Assumptions!$C$66)*Assumptions!$F$10</f>
        <v>5175</v>
      </c>
      <c r="BN82" s="39" t="n">
        <f aca="false">K82*$C$19+L82*$D$19+M82*$E$19+N82*$F$19+O82*$G$19</f>
        <v>0</v>
      </c>
      <c r="BO82" s="39" t="n">
        <f aca="false">Assumptions!$C$99*W82</f>
        <v>5954.59004188196</v>
      </c>
      <c r="BP82" s="39" t="n">
        <f aca="false">Assumptions!G$98/12+P82*Assumptions!$C$101/12</f>
        <v>12844.5833333333</v>
      </c>
      <c r="BQ82" s="39" t="n">
        <f aca="false">BD82*Assumptions!$C$102/12+Assumptions!$C$100</f>
        <v>3930.22565552582</v>
      </c>
      <c r="BR82" s="39" t="n">
        <f aca="false">SUM(BF82:BQ82)</f>
        <v>138034.69375775</v>
      </c>
      <c r="BS82" s="39" t="n">
        <f aca="false">W82-AD82-BR82</f>
        <v>70920.1898979007</v>
      </c>
      <c r="BT82" s="39" t="n">
        <f aca="false">MAX(0,BD82-BD81)*Assumptions!$C$103</f>
        <v>8771.37809759812</v>
      </c>
      <c r="BU82" s="39" t="n">
        <f aca="false">0</f>
        <v>0</v>
      </c>
      <c r="BV82" s="39" t="n">
        <f aca="false">-(W82-W81)*12*Assumptions!$C$108</f>
        <v>-8065.35549956735</v>
      </c>
      <c r="BW82" s="39" t="n">
        <f aca="false">0</f>
        <v>0</v>
      </c>
      <c r="BX82" s="39" t="n">
        <f aca="false">BS82-BT82+BU82+BV82+BW82</f>
        <v>54083.4563007352</v>
      </c>
      <c r="BY82" s="29" t="n">
        <f aca="false">BY81+BX82</f>
        <v>520037.523696684</v>
      </c>
    </row>
    <row r="83" customFormat="false" ht="15" hidden="false" customHeight="false" outlineLevel="0" collapsed="false">
      <c r="A83" s="45" t="n">
        <v>53</v>
      </c>
      <c r="B83" s="45" t="n">
        <v>2031</v>
      </c>
      <c r="C83" s="45" t="n">
        <v>4</v>
      </c>
      <c r="D83" s="35" t="n">
        <f aca="false">ROUND(Assumptions!G$18*Assumptions!$F$7/12,0)</f>
        <v>250</v>
      </c>
      <c r="E83" s="35" t="n">
        <f aca="false">Rollout!$C$10-I82</f>
        <v>7080</v>
      </c>
      <c r="F83" s="39" t="n">
        <f aca="false">H83*$C$26+H82*$D$26+H81*$E$26+H80*$F$26+H79*$G$26+H78*$H$26+H77*$I$26+H76*$J$26+H75*$K$26+H74*$L$26+H73*$M$26+H72*$N$26</f>
        <v>10728.6142425934</v>
      </c>
      <c r="G83" s="39" t="n">
        <f aca="false">BY82-Assumptions!$C$110-F82-Assumptions!$C$111*(Assumptions!$C$100+Assumptions!G$98/12+BC82)</f>
        <v>49626.3441141304</v>
      </c>
      <c r="H83" s="35" t="n">
        <f aca="false">IF(BE82&gt;0,0,MAX(0,MIN(D83,E83,INT(G83/$C$27))))</f>
        <v>0</v>
      </c>
      <c r="I83" s="35" t="n">
        <f aca="false">I82+H83</f>
        <v>1353</v>
      </c>
      <c r="J83" s="35" t="n">
        <f aca="false">SUM(H72:H83)</f>
        <v>945</v>
      </c>
      <c r="K83" s="35" t="n">
        <f aca="false">H83*$C$23+H82*$D$23+H81*$E$23+H80*$F$23+H79*$G$23+H78*$H$23+H77*$I$23+H76*$J$23+H75*$K$23+H74*$L$23+H73*$M$23+H72*$N$23</f>
        <v>1036.1812</v>
      </c>
      <c r="L83" s="35" t="n">
        <f aca="false">SUM(H60:H71)</f>
        <v>302</v>
      </c>
      <c r="M83" s="35" t="n">
        <f aca="false">SUM(H48:H59)</f>
        <v>73</v>
      </c>
      <c r="N83" s="35" t="n">
        <f aca="false">SUM(H36:H47)</f>
        <v>19</v>
      </c>
      <c r="O83" s="35" t="n">
        <f aca="false">SUM(H31:H35)</f>
        <v>14</v>
      </c>
      <c r="P83" s="35" t="n">
        <f aca="false">J83*$C$6+L83*$D$6+M83*$E$6+N83*$F$6+O83*$G$6</f>
        <v>1338.17</v>
      </c>
      <c r="Q83" s="39" t="n">
        <f aca="false">K83*$C$7+L83*$D$7+M83*$E$7+N83*$F$7+O83*$G$7</f>
        <v>121136.7523968</v>
      </c>
      <c r="R83" s="39" t="n">
        <f aca="false">K83*$C$8+L83*$D$8+M83*$E$8+N83*$F$8+O83*$G$8</f>
        <v>79760.798073216</v>
      </c>
      <c r="S83" s="39" t="n">
        <f aca="false">K83*$C$9+L83*$D$9+M83*$E$9+N83*$F$9+O83*$G$9</f>
        <v>33422.2812</v>
      </c>
      <c r="T83" s="39" t="n">
        <f aca="false">K83*$C$10+L83*$D$10+M83*$E$10+N83*$F$10+O83*$G$10</f>
        <v>50632.1303292</v>
      </c>
      <c r="U83" s="39" t="n">
        <f aca="false">K83*$C$11+L83*$D$11+M83*$E$11+N83*$F$11+O83*$G$11</f>
        <v>51524.3652</v>
      </c>
      <c r="V83" s="39" t="n">
        <f aca="false">K83*$C$12+L83*$D$12+M83*$E$12+N83*$F$12+O83*$G$12</f>
        <v>12531.853824</v>
      </c>
      <c r="W83" s="39" t="n">
        <f aca="false">SUM(Q83:V83)</f>
        <v>349008.181023216</v>
      </c>
      <c r="X83" s="39" t="n">
        <f aca="false">J83*$C$14+L83*$D$14+M83*$E$14+N83*$F$14+O83*$G$14</f>
        <v>42574.9936916667</v>
      </c>
      <c r="Y83" s="39" t="n">
        <f aca="false">J83*$C$15+L83*$D$15+M83*$E$15+N83*$F$15+O83*$G$15</f>
        <v>33454.25</v>
      </c>
      <c r="Z83" s="39" t="n">
        <f aca="false">K83*$C$16+L83*$D$16+M83*$E$16+N83*$F$16+O83*$G$16</f>
        <v>685.13988914</v>
      </c>
      <c r="AA83" s="39" t="n">
        <f aca="false">K83*$C$17+L83*$D$17+M83*$E$17+N83*$F$17+O83*$G$17</f>
        <v>9558.08263619367</v>
      </c>
      <c r="AB83" s="39" t="n">
        <f aca="false">J83*$C$18+L83*$D$18+M83*$E$18+N83*$F$18+O83*$G$18</f>
        <v>655.283333333333</v>
      </c>
      <c r="AC83" s="39" t="n">
        <f aca="false">H83*Assumptions!$C$67*Assumptions!$F$10</f>
        <v>0</v>
      </c>
      <c r="AD83" s="39" t="n">
        <f aca="false">SUM(X83:AC83)</f>
        <v>86927.7495503337</v>
      </c>
      <c r="AE83" s="35" t="n">
        <f aca="false">K83*$C$20+L83*$D$20+M83*$E$20+N83*$F$20+O83*$G$20</f>
        <v>274055.955656</v>
      </c>
      <c r="AF83" s="35" t="n">
        <f aca="false">K83*$C$21+L83*$D$21+M83*$E$21+N83*$F$21+O83*$G$21</f>
        <v>15736522.1104</v>
      </c>
      <c r="AG83" s="35" t="n">
        <f aca="false">K83*$C$22+L83*$D$22+M83*$E$22+N83*$F$22+O83*$G$22</f>
        <v>12777.777708544</v>
      </c>
      <c r="AH83" s="37" t="n">
        <f aca="false">P83/Assumptions!$C$76</f>
        <v>1.33817</v>
      </c>
      <c r="AI83" s="37" t="n">
        <f aca="false">P83/Assumptions!$C$77</f>
        <v>1.33817</v>
      </c>
      <c r="AJ83" s="37" t="n">
        <f aca="false">P83/Assumptions!$C$78</f>
        <v>11.1514166666667</v>
      </c>
      <c r="AK83" s="37" t="n">
        <f aca="false">H83/(Assumptions!$C$19/12)</f>
        <v>0</v>
      </c>
      <c r="AL83" s="37" t="n">
        <f aca="false">Assumptions!G$92</f>
        <v>2</v>
      </c>
      <c r="AM83" s="37" t="n">
        <f aca="false">Assumptions!G$93</f>
        <v>6</v>
      </c>
      <c r="AN83" s="37" t="n">
        <f aca="false">Assumptions!G$94</f>
        <v>2</v>
      </c>
      <c r="AO83" s="37" t="n">
        <f aca="false">SUM(AH83:AN83)</f>
        <v>23.8277566666667</v>
      </c>
      <c r="AP83" s="39" t="n">
        <f aca="false">AH83*Assumptions!$C$85*(1+Assumptions!$C$73)*(1+Assumptions!$C$74)^4/12</f>
        <v>10982.1404895249</v>
      </c>
      <c r="AQ83" s="39" t="n">
        <f aca="false">AI83*Assumptions!$C$86*(1+Assumptions!$C$73)*(1+Assumptions!$C$74)^4/12</f>
        <v>10197.7018831303</v>
      </c>
      <c r="AR83" s="39" t="n">
        <f aca="false">AJ83*Assumptions!$C$87*(1+Assumptions!$C$73)*(1+Assumptions!$C$74)^4/12</f>
        <v>71906.8722528416</v>
      </c>
      <c r="AS83" s="39" t="n">
        <f aca="false">AK83*Assumptions!$C$85*(1+Assumptions!$C$73)*(1+Assumptions!$C$74)^4/12</f>
        <v>0</v>
      </c>
      <c r="AT83" s="39" t="n">
        <f aca="false">AL83*Assumptions!$C$83*(1+Assumptions!$C$73)*(1+Assumptions!$C$74)^4/12</f>
        <v>37516.9603333333</v>
      </c>
      <c r="AU83" s="39" t="n">
        <f aca="false">AM83*Assumptions!$C$84*(1+Assumptions!$C$73)*(1+Assumptions!$C$74)^4/12</f>
        <v>119585.3110625</v>
      </c>
      <c r="AV83" s="39" t="n">
        <f aca="false">AN83*Assumptions!$C$88*(1+Assumptions!$C$73)*(1+Assumptions!$C$74)^4/12</f>
        <v>25792.9102291667</v>
      </c>
      <c r="AW83" s="39" t="n">
        <f aca="false">SUM(AP83:AV83)</f>
        <v>275981.896250497</v>
      </c>
      <c r="AX83" s="39" t="n">
        <f aca="false">MIN(Assumptions!$C$80*W82,MAX(0,BS82+BC82))</f>
        <v>119091.800837639</v>
      </c>
      <c r="AY83" s="39" t="n">
        <f aca="false">IF(SUM(AH83:AK83)&lt;=0,0,MIN(AX83,SUM(AP83:AS83)*MAX(0,1-Assumptions!$C$79/SUM(AH83:AK83))))</f>
        <v>79622.9667639376</v>
      </c>
      <c r="AZ83" s="36" t="n">
        <f aca="false">IF(SUM(AP83:AS83)=0,0,AY83/SUM(AP83:AS83))</f>
        <v>0.855363379020024</v>
      </c>
      <c r="BA83" s="39" t="n">
        <f aca="false">MIN(AX83-AY83,SUM(AT83:AV83))</f>
        <v>39468.8340737016</v>
      </c>
      <c r="BB83" s="36" t="n">
        <f aca="false">IF(SUM(AT83:AV83)=0,0,BA83/SUM(AT83:AV83))</f>
        <v>0.215800294589645</v>
      </c>
      <c r="BC83" s="39" t="n">
        <f aca="false">AY83+BA83</f>
        <v>119091.800837639</v>
      </c>
      <c r="BD83" s="37" t="n">
        <f aca="false">SUM(AH83:AK83)*AZ83+SUM(AL83:AN83)*BB83</f>
        <v>13.9857596125631</v>
      </c>
      <c r="BE83" s="37" t="n">
        <f aca="false">MAX(0,SUM(AH83:AK83)*(1-AZ83)-Assumptions!$C$79)</f>
        <v>0</v>
      </c>
      <c r="BF83" s="39" t="n">
        <f aca="false">AP83*AZ83</f>
        <v>9393.72079799264</v>
      </c>
      <c r="BG83" s="39" t="n">
        <f aca="false">AQ83*AZ83</f>
        <v>8722.74074099316</v>
      </c>
      <c r="BH83" s="39" t="n">
        <f aca="false">AR83*AZ83</f>
        <v>61506.5052249518</v>
      </c>
      <c r="BI83" s="39" t="n">
        <f aca="false">AS83*AZ83</f>
        <v>0</v>
      </c>
      <c r="BJ83" s="39" t="n">
        <f aca="false">AT83*BB83</f>
        <v>8096.17109204136</v>
      </c>
      <c r="BK83" s="39" t="n">
        <f aca="false">AU83*BB83</f>
        <v>25806.5453558818</v>
      </c>
      <c r="BL83" s="39" t="n">
        <f aca="false">AV83*BB83</f>
        <v>5566.11762577843</v>
      </c>
      <c r="BM83" s="39" t="n">
        <f aca="false">H83*(Assumptions!$C$68+Assumptions!$C$66)*Assumptions!$F$10</f>
        <v>0</v>
      </c>
      <c r="BN83" s="39" t="n">
        <f aca="false">K83*$C$19+L83*$D$19+M83*$E$19+N83*$F$19+O83*$G$19</f>
        <v>0</v>
      </c>
      <c r="BO83" s="39" t="n">
        <f aca="false">Assumptions!$C$99*W83</f>
        <v>6980.16362046432</v>
      </c>
      <c r="BP83" s="39" t="n">
        <f aca="false">Assumptions!G$98/12+P83*Assumptions!$C$101/12</f>
        <v>12818.0833333333</v>
      </c>
      <c r="BQ83" s="39" t="n">
        <f aca="false">BD83*Assumptions!$C$102/12+Assumptions!$C$100</f>
        <v>3596.43990314078</v>
      </c>
      <c r="BR83" s="39" t="n">
        <f aca="false">SUM(BF83:BQ83)</f>
        <v>142486.487694578</v>
      </c>
      <c r="BS83" s="39" t="n">
        <f aca="false">W83-AD83-BR83</f>
        <v>119593.943778305</v>
      </c>
      <c r="BT83" s="39" t="n">
        <f aca="false">MAX(0,BD83-BD82)*Assumptions!$C$103</f>
        <v>0</v>
      </c>
      <c r="BU83" s="39" t="n">
        <f aca="false">0</f>
        <v>0</v>
      </c>
      <c r="BV83" s="39" t="n">
        <f aca="false">-(W83-W82)*12*Assumptions!$C$108</f>
        <v>-18460.3244144825</v>
      </c>
      <c r="BW83" s="39" t="n">
        <f aca="false">0</f>
        <v>0</v>
      </c>
      <c r="BX83" s="39" t="n">
        <f aca="false">BS83-BT83+BU83+BV83+BW83</f>
        <v>101133.619363822</v>
      </c>
      <c r="BY83" s="29" t="n">
        <f aca="false">BY82+BX83</f>
        <v>621171.143060506</v>
      </c>
    </row>
    <row r="84" customFormat="false" ht="15" hidden="false" customHeight="false" outlineLevel="0" collapsed="false">
      <c r="A84" s="45" t="n">
        <v>54</v>
      </c>
      <c r="B84" s="45" t="n">
        <v>2031</v>
      </c>
      <c r="C84" s="45" t="n">
        <v>4</v>
      </c>
      <c r="D84" s="35" t="n">
        <f aca="false">ROUND(Assumptions!G$18*Assumptions!$F$7/12,0)</f>
        <v>250</v>
      </c>
      <c r="E84" s="35" t="n">
        <f aca="false">Rollout!$C$10-I83</f>
        <v>7080</v>
      </c>
      <c r="F84" s="39" t="n">
        <f aca="false">H84*$C$26+H83*$D$26+H82*$E$26+H81*$F$26+H80*$G$26+H79*$H$26+H78*$I$26+H77*$J$26+H76*$K$26+H75*$L$26+H74*$M$26+H73*$N$26</f>
        <v>29810.4147349112</v>
      </c>
      <c r="G84" s="39" t="n">
        <f aca="false">BY83-Assumptions!$C$110-F83-Assumptions!$C$111*(Assumptions!$C$100+Assumptions!G$98/12+BC83)</f>
        <v>126008.658800689</v>
      </c>
      <c r="H84" s="35" t="n">
        <f aca="false">IF(BE83&gt;0,0,MAX(0,MIN(D84,E84,INT(G84/$C$27))))</f>
        <v>250</v>
      </c>
      <c r="I84" s="35" t="n">
        <f aca="false">I83+H84</f>
        <v>1603</v>
      </c>
      <c r="J84" s="35" t="n">
        <f aca="false">SUM(H73:H84)</f>
        <v>1094</v>
      </c>
      <c r="K84" s="35" t="n">
        <f aca="false">H84*$C$23+H83*$D$23+H82*$E$23+H81*$F$23+H80*$G$23+H79*$H$23+H78*$I$23+H77*$J$23+H76*$K$23+H75*$L$23+H74*$M$23+H73*$N$23</f>
        <v>987.6204</v>
      </c>
      <c r="L84" s="35" t="n">
        <f aca="false">SUM(H61:H72)</f>
        <v>368</v>
      </c>
      <c r="M84" s="35" t="n">
        <f aca="false">SUM(H49:H60)</f>
        <v>108</v>
      </c>
      <c r="N84" s="35" t="n">
        <f aca="false">SUM(H37:H48)</f>
        <v>19</v>
      </c>
      <c r="O84" s="35" t="n">
        <f aca="false">SUM(H31:H36)</f>
        <v>14</v>
      </c>
      <c r="P84" s="35" t="n">
        <f aca="false">J84*$C$6+L84*$D$6+M84*$E$6+N84*$F$6+O84*$G$6</f>
        <v>1584.44</v>
      </c>
      <c r="Q84" s="39" t="n">
        <f aca="false">K84*$C$7+L84*$D$7+M84*$E$7+N84*$F$7+O84*$G$7</f>
        <v>136297.1172416</v>
      </c>
      <c r="R84" s="39" t="n">
        <f aca="false">K84*$C$8+L84*$D$8+M84*$E$8+N84*$F$8+O84*$G$8</f>
        <v>91403.658982272</v>
      </c>
      <c r="S84" s="39" t="n">
        <f aca="false">K84*$C$9+L84*$D$9+M84*$E$9+N84*$F$9+O84*$G$9</f>
        <v>41580</v>
      </c>
      <c r="T84" s="39" t="n">
        <f aca="false">K84*$C$10+L84*$D$10+M84*$E$10+N84*$F$10+O84*$G$10</f>
        <v>60300.9503964</v>
      </c>
      <c r="U84" s="39" t="n">
        <f aca="false">K84*$C$11+L84*$D$11+M84*$E$11+N84*$F$11+O84*$G$11</f>
        <v>58029.0984</v>
      </c>
      <c r="V84" s="39" t="n">
        <f aca="false">K84*$C$12+L84*$D$12+M84*$E$12+N84*$F$12+O84*$G$12</f>
        <v>16406.303424</v>
      </c>
      <c r="W84" s="39" t="n">
        <f aca="false">SUM(Q84:V84)</f>
        <v>404017.128444272</v>
      </c>
      <c r="X84" s="39" t="n">
        <f aca="false">J84*$C$14+L84*$D$14+M84*$E$14+N84*$F$14+O84*$G$14</f>
        <v>50410.2789666667</v>
      </c>
      <c r="Y84" s="39" t="n">
        <f aca="false">J84*$C$15+L84*$D$15+M84*$E$15+N84*$F$15+O84*$G$15</f>
        <v>39611</v>
      </c>
      <c r="Z84" s="39" t="n">
        <f aca="false">K84*$C$16+L84*$D$16+M84*$E$16+N84*$F$16+O84*$G$16</f>
        <v>762.56794838</v>
      </c>
      <c r="AA84" s="39" t="n">
        <f aca="false">K84*$C$17+L84*$D$17+M84*$E$17+N84*$F$17+O84*$G$17</f>
        <v>10815.2206435867</v>
      </c>
      <c r="AB84" s="39" t="n">
        <f aca="false">J84*$C$18+L84*$D$18+M84*$E$18+N84*$F$18+O84*$G$18</f>
        <v>817.4</v>
      </c>
      <c r="AC84" s="39" t="n">
        <f aca="false">H84*Assumptions!$C$67*Assumptions!$F$10</f>
        <v>3750</v>
      </c>
      <c r="AD84" s="39" t="n">
        <f aca="false">SUM(X84:AC84)</f>
        <v>106166.467558633</v>
      </c>
      <c r="AE84" s="35" t="n">
        <f aca="false">K84*$C$20+L84*$D$20+M84*$E$20+N84*$F$20+O84*$G$20</f>
        <v>305027.179352</v>
      </c>
      <c r="AF84" s="35" t="n">
        <f aca="false">K84*$C$21+L84*$D$21+M84*$E$21+N84*$F$21+O84*$G$21</f>
        <v>17186844.7968</v>
      </c>
      <c r="AG84" s="35" t="n">
        <f aca="false">K84*$C$22+L84*$D$22+M84*$E$22+N84*$F$22+O84*$G$22</f>
        <v>14459.660443648</v>
      </c>
      <c r="AH84" s="37" t="n">
        <f aca="false">P84/Assumptions!$C$76</f>
        <v>1.58444</v>
      </c>
      <c r="AI84" s="37" t="n">
        <f aca="false">P84/Assumptions!$C$77</f>
        <v>1.58444</v>
      </c>
      <c r="AJ84" s="37" t="n">
        <f aca="false">P84/Assumptions!$C$78</f>
        <v>13.2036666666667</v>
      </c>
      <c r="AK84" s="37" t="n">
        <f aca="false">H84/(Assumptions!$C$19/12)</f>
        <v>7.5</v>
      </c>
      <c r="AL84" s="37" t="n">
        <f aca="false">Assumptions!G$92</f>
        <v>2</v>
      </c>
      <c r="AM84" s="37" t="n">
        <f aca="false">Assumptions!G$93</f>
        <v>6</v>
      </c>
      <c r="AN84" s="37" t="n">
        <f aca="false">Assumptions!G$94</f>
        <v>2</v>
      </c>
      <c r="AO84" s="37" t="n">
        <f aca="false">SUM(AH84:AN84)</f>
        <v>33.8725466666667</v>
      </c>
      <c r="AP84" s="39" t="n">
        <f aca="false">AH84*Assumptions!$C$85*(1+Assumptions!$C$73)*(1+Assumptions!$C$74)^4/12</f>
        <v>13003.2377629321</v>
      </c>
      <c r="AQ84" s="39" t="n">
        <f aca="false">AI84*Assumptions!$C$86*(1+Assumptions!$C$73)*(1+Assumptions!$C$74)^4/12</f>
        <v>12074.4350655798</v>
      </c>
      <c r="AR84" s="39" t="n">
        <f aca="false">AJ84*Assumptions!$C$87*(1+Assumptions!$C$73)*(1+Assumptions!$C$74)^4/12</f>
        <v>85140.2472572934</v>
      </c>
      <c r="AS84" s="39" t="n">
        <f aca="false">AK84*Assumptions!$C$85*(1+Assumptions!$C$73)*(1+Assumptions!$C$74)^4/12</f>
        <v>61551.263046875</v>
      </c>
      <c r="AT84" s="39" t="n">
        <f aca="false">AL84*Assumptions!$C$83*(1+Assumptions!$C$73)*(1+Assumptions!$C$74)^4/12</f>
        <v>37516.9603333333</v>
      </c>
      <c r="AU84" s="39" t="n">
        <f aca="false">AM84*Assumptions!$C$84*(1+Assumptions!$C$73)*(1+Assumptions!$C$74)^4/12</f>
        <v>119585.3110625</v>
      </c>
      <c r="AV84" s="39" t="n">
        <f aca="false">AN84*Assumptions!$C$88*(1+Assumptions!$C$73)*(1+Assumptions!$C$74)^4/12</f>
        <v>25792.9102291667</v>
      </c>
      <c r="AW84" s="39" t="n">
        <f aca="false">SUM(AP84:AV84)</f>
        <v>354664.36475768</v>
      </c>
      <c r="AX84" s="39" t="n">
        <f aca="false">MIN(Assumptions!$C$80*W83,MAX(0,BS83+BC83))</f>
        <v>139603.272409286</v>
      </c>
      <c r="AY84" s="39" t="n">
        <f aca="false">IF(SUM(AH84:AK84)&lt;=0,0,MIN(AX84,SUM(AP84:AS84)*MAX(0,1-Assumptions!$C$79/SUM(AH84:AK84))))</f>
        <v>139603.272409286</v>
      </c>
      <c r="AZ84" s="36" t="n">
        <f aca="false">IF(SUM(AP84:AS84)=0,0,AY84/SUM(AP84:AS84))</f>
        <v>0.812737592758138</v>
      </c>
      <c r="BA84" s="39" t="n">
        <f aca="false">MIN(AX84-AY84,SUM(AT84:AV84))</f>
        <v>0</v>
      </c>
      <c r="BB84" s="36" t="n">
        <f aca="false">IF(SUM(AT84:AV84)=0,0,BA84/SUM(AT84:AV84))</f>
        <v>0</v>
      </c>
      <c r="BC84" s="39" t="n">
        <f aca="false">AY84+BA84</f>
        <v>139603.272409286</v>
      </c>
      <c r="BD84" s="37" t="n">
        <f aca="false">SUM(AH84:AK84)*AZ84+SUM(AL84:AN84)*BB84</f>
        <v>19.402116110873</v>
      </c>
      <c r="BE84" s="37" t="n">
        <f aca="false">MAX(0,SUM(AH84:AK84)*(1-AZ84)-Assumptions!$C$79)</f>
        <v>2.47043055579368</v>
      </c>
      <c r="BF84" s="39" t="n">
        <f aca="false">AP84*AZ84</f>
        <v>10568.2201575071</v>
      </c>
      <c r="BG84" s="39" t="n">
        <f aca="false">AQ84*AZ84</f>
        <v>9813.34728911378</v>
      </c>
      <c r="BH84" s="39" t="n">
        <f aca="false">AR84*AZ84</f>
        <v>69196.6796027253</v>
      </c>
      <c r="BI84" s="39" t="n">
        <f aca="false">AS84*AZ84</f>
        <v>50025.0253599401</v>
      </c>
      <c r="BJ84" s="39" t="n">
        <f aca="false">AT84*BB84</f>
        <v>0</v>
      </c>
      <c r="BK84" s="39" t="n">
        <f aca="false">AU84*BB84</f>
        <v>0</v>
      </c>
      <c r="BL84" s="39" t="n">
        <f aca="false">AV84*BB84</f>
        <v>0</v>
      </c>
      <c r="BM84" s="39" t="n">
        <f aca="false">H84*(Assumptions!$C$68+Assumptions!$C$66)*Assumptions!$F$10</f>
        <v>6250</v>
      </c>
      <c r="BN84" s="39" t="n">
        <f aca="false">K84*$C$19+L84*$D$19+M84*$E$19+N84*$F$19+O84*$G$19</f>
        <v>0</v>
      </c>
      <c r="BO84" s="39" t="n">
        <f aca="false">Assumptions!$C$99*W84</f>
        <v>8080.34256888544</v>
      </c>
      <c r="BP84" s="39" t="n">
        <f aca="false">Assumptions!G$98/12+P84*Assumptions!$C$101/12</f>
        <v>14870.3333333333</v>
      </c>
      <c r="BQ84" s="39" t="n">
        <f aca="false">BD84*Assumptions!$C$102/12+Assumptions!$C$100</f>
        <v>4950.52902771825</v>
      </c>
      <c r="BR84" s="39" t="n">
        <f aca="false">SUM(BF84:BQ84)</f>
        <v>173754.477339223</v>
      </c>
      <c r="BS84" s="39" t="n">
        <f aca="false">W84-AD84-BR84</f>
        <v>124096.183546415</v>
      </c>
      <c r="BT84" s="39" t="n">
        <f aca="false">MAX(0,BD84-BD83)*Assumptions!$C$103</f>
        <v>13540.8912457747</v>
      </c>
      <c r="BU84" s="39" t="n">
        <f aca="false">0</f>
        <v>0</v>
      </c>
      <c r="BV84" s="39" t="n">
        <f aca="false">-(W84-W83)*12*Assumptions!$C$108</f>
        <v>-19803.2210715802</v>
      </c>
      <c r="BW84" s="39" t="n">
        <f aca="false">0</f>
        <v>0</v>
      </c>
      <c r="BX84" s="39" t="n">
        <f aca="false">BS84-BT84+BU84+BV84+BW84</f>
        <v>90752.0712290604</v>
      </c>
      <c r="BY84" s="29" t="n">
        <f aca="false">BY83+BX84</f>
        <v>711923.214289567</v>
      </c>
    </row>
    <row r="85" customFormat="false" ht="15" hidden="false" customHeight="false" outlineLevel="0" collapsed="false">
      <c r="A85" s="45" t="n">
        <v>55</v>
      </c>
      <c r="B85" s="45" t="n">
        <v>2031</v>
      </c>
      <c r="C85" s="45" t="n">
        <v>4</v>
      </c>
      <c r="D85" s="35" t="n">
        <f aca="false">ROUND(Assumptions!G$18*Assumptions!$F$7/12,0)</f>
        <v>250</v>
      </c>
      <c r="E85" s="35" t="n">
        <f aca="false">Rollout!$C$10-I84</f>
        <v>6830</v>
      </c>
      <c r="F85" s="39" t="n">
        <f aca="false">H85*$C$26+H84*$D$26+H83*$E$26+H82*$F$26+H81*$G$26+H80*$H$26+H79*$I$26+H78*$J$26+H77*$K$26+H76*$L$26+H75*$M$26+H74*$N$26</f>
        <v>12957.2635780113</v>
      </c>
      <c r="G85" s="39" t="n">
        <f aca="false">BY84-Assumptions!$C$110-F84-Assumptions!$C$111*(Assumptions!$C$100+Assumptions!G$98/12+BC84)</f>
        <v>115633.043250843</v>
      </c>
      <c r="H85" s="35" t="n">
        <f aca="false">IF(BE84&gt;0,0,MAX(0,MIN(D85,E85,INT(G85/$C$27))))</f>
        <v>0</v>
      </c>
      <c r="I85" s="35" t="n">
        <f aca="false">I84+H85</f>
        <v>1603</v>
      </c>
      <c r="J85" s="35" t="n">
        <f aca="false">SUM(H74:H85)</f>
        <v>1094</v>
      </c>
      <c r="K85" s="35" t="n">
        <f aca="false">H85*$C$23+H84*$D$23+H83*$E$23+H82*$F$23+H81*$G$23+H80*$H$23+H79*$I$23+H78*$J$23+H77*$K$23+H76*$L$23+H75*$M$23+H74*$N$23</f>
        <v>1186.5519</v>
      </c>
      <c r="L85" s="35" t="n">
        <f aca="false">SUM(H62:H73)</f>
        <v>335</v>
      </c>
      <c r="M85" s="35" t="n">
        <f aca="false">SUM(H50:H61)</f>
        <v>141</v>
      </c>
      <c r="N85" s="35" t="n">
        <f aca="false">SUM(H38:H49)</f>
        <v>19</v>
      </c>
      <c r="O85" s="35" t="n">
        <f aca="false">SUM(H31:H37)</f>
        <v>14</v>
      </c>
      <c r="P85" s="35" t="n">
        <f aca="false">J85*$C$6+L85*$D$6+M85*$E$6+N85*$F$6+O85*$G$6</f>
        <v>1583.78</v>
      </c>
      <c r="Q85" s="39" t="n">
        <f aca="false">K85*$C$7+L85*$D$7+M85*$E$7+N85*$F$7+O85*$G$7</f>
        <v>149005.5002576</v>
      </c>
      <c r="R85" s="39" t="n">
        <f aca="false">K85*$C$8+L85*$D$8+M85*$E$8+N85*$F$8+O85*$G$8</f>
        <v>99696.172248192</v>
      </c>
      <c r="S85" s="39" t="n">
        <f aca="false">K85*$C$9+L85*$D$9+M85*$E$9+N85*$F$9+O85*$G$9</f>
        <v>44150.4756</v>
      </c>
      <c r="T85" s="39" t="n">
        <f aca="false">K85*$C$10+L85*$D$10+M85*$E$10+N85*$F$10+O85*$G$10</f>
        <v>64917.80407665</v>
      </c>
      <c r="U85" s="39" t="n">
        <f aca="false">K85*$C$11+L85*$D$11+M85*$E$11+N85*$F$11+O85*$G$11</f>
        <v>63481.7799</v>
      </c>
      <c r="V85" s="39" t="n">
        <f aca="false">K85*$C$12+L85*$D$12+M85*$E$12+N85*$F$12+O85*$G$12</f>
        <v>20059.355904</v>
      </c>
      <c r="W85" s="39" t="n">
        <f aca="false">SUM(Q85:V85)</f>
        <v>441311.087986442</v>
      </c>
      <c r="X85" s="39" t="n">
        <f aca="false">J85*$C$14+L85*$D$14+M85*$E$14+N85*$F$14+O85*$G$14</f>
        <v>50389.2805166667</v>
      </c>
      <c r="Y85" s="39" t="n">
        <f aca="false">J85*$C$15+L85*$D$15+M85*$E$15+N85*$F$15+O85*$G$15</f>
        <v>39594.5</v>
      </c>
      <c r="Z85" s="39" t="n">
        <f aca="false">K85*$C$16+L85*$D$16+M85*$E$16+N85*$F$16+O85*$G$16</f>
        <v>835.083850055</v>
      </c>
      <c r="AA85" s="39" t="n">
        <f aca="false">K85*$C$17+L85*$D$17+M85*$E$17+N85*$F$17+O85*$G$17</f>
        <v>11815.1960893464</v>
      </c>
      <c r="AB85" s="39" t="n">
        <f aca="false">J85*$C$18+L85*$D$18+M85*$E$18+N85*$F$18+O85*$G$18</f>
        <v>816.3</v>
      </c>
      <c r="AC85" s="39" t="n">
        <f aca="false">H85*Assumptions!$C$67*Assumptions!$F$10</f>
        <v>0</v>
      </c>
      <c r="AD85" s="39" t="n">
        <f aca="false">SUM(X85:AC85)</f>
        <v>103450.360456068</v>
      </c>
      <c r="AE85" s="35" t="n">
        <f aca="false">K85*$C$20+L85*$D$20+M85*$E$20+N85*$F$20+O85*$G$20</f>
        <v>334033.540022</v>
      </c>
      <c r="AF85" s="35" t="n">
        <f aca="false">K85*$C$21+L85*$D$21+M85*$E$21+N85*$F$21+O85*$G$21</f>
        <v>19039601.2548</v>
      </c>
      <c r="AG85" s="35" t="n">
        <f aca="false">K85*$C$22+L85*$D$22+M85*$E$22+N85*$F$22+O85*$G$22</f>
        <v>15788.789688928</v>
      </c>
      <c r="AH85" s="37" t="n">
        <f aca="false">P85/Assumptions!$C$76</f>
        <v>1.58378</v>
      </c>
      <c r="AI85" s="37" t="n">
        <f aca="false">P85/Assumptions!$C$77</f>
        <v>1.58378</v>
      </c>
      <c r="AJ85" s="37" t="n">
        <f aca="false">P85/Assumptions!$C$78</f>
        <v>13.1981666666667</v>
      </c>
      <c r="AK85" s="37" t="n">
        <f aca="false">H85/(Assumptions!$C$19/12)</f>
        <v>0</v>
      </c>
      <c r="AL85" s="37" t="n">
        <f aca="false">Assumptions!G$92</f>
        <v>2</v>
      </c>
      <c r="AM85" s="37" t="n">
        <f aca="false">Assumptions!G$93</f>
        <v>6</v>
      </c>
      <c r="AN85" s="37" t="n">
        <f aca="false">Assumptions!G$94</f>
        <v>2</v>
      </c>
      <c r="AO85" s="37" t="n">
        <f aca="false">SUM(AH85:AN85)</f>
        <v>26.3657266666667</v>
      </c>
      <c r="AP85" s="39" t="n">
        <f aca="false">AH85*Assumptions!$C$85*(1+Assumptions!$C$73)*(1+Assumptions!$C$74)^4/12</f>
        <v>12997.821251784</v>
      </c>
      <c r="AQ85" s="39" t="n">
        <f aca="false">AI85*Assumptions!$C$86*(1+Assumptions!$C$73)*(1+Assumptions!$C$74)^4/12</f>
        <v>12069.4054480851</v>
      </c>
      <c r="AR85" s="39" t="n">
        <f aca="false">AJ85*Assumptions!$C$87*(1+Assumptions!$C$73)*(1+Assumptions!$C$74)^4/12</f>
        <v>85104.7820057283</v>
      </c>
      <c r="AS85" s="39" t="n">
        <f aca="false">AK85*Assumptions!$C$85*(1+Assumptions!$C$73)*(1+Assumptions!$C$74)^4/12</f>
        <v>0</v>
      </c>
      <c r="AT85" s="39" t="n">
        <f aca="false">AL85*Assumptions!$C$83*(1+Assumptions!$C$73)*(1+Assumptions!$C$74)^4/12</f>
        <v>37516.9603333333</v>
      </c>
      <c r="AU85" s="39" t="n">
        <f aca="false">AM85*Assumptions!$C$84*(1+Assumptions!$C$73)*(1+Assumptions!$C$74)^4/12</f>
        <v>119585.3110625</v>
      </c>
      <c r="AV85" s="39" t="n">
        <f aca="false">AN85*Assumptions!$C$88*(1+Assumptions!$C$73)*(1+Assumptions!$C$74)^4/12</f>
        <v>25792.9102291667</v>
      </c>
      <c r="AW85" s="39" t="n">
        <f aca="false">SUM(AP85:AV85)</f>
        <v>293067.190330597</v>
      </c>
      <c r="AX85" s="39" t="n">
        <f aca="false">MIN(Assumptions!$C$80*W84,MAX(0,BS84+BC84))</f>
        <v>161606.851377709</v>
      </c>
      <c r="AY85" s="39" t="n">
        <f aca="false">IF(SUM(AH85:AK85)&lt;=0,0,MIN(AX85,SUM(AP85:AS85)*MAX(0,1-Assumptions!$C$79/SUM(AH85:AK85))))</f>
        <v>96708.2608440383</v>
      </c>
      <c r="AZ85" s="36" t="n">
        <f aca="false">IF(SUM(AP85:AS85)=0,0,AY85/SUM(AP85:AS85))</f>
        <v>0.877793388540849</v>
      </c>
      <c r="BA85" s="39" t="n">
        <f aca="false">MIN(AX85-AY85,SUM(AT85:AV85))</f>
        <v>64898.5905336706</v>
      </c>
      <c r="BB85" s="36" t="n">
        <f aca="false">IF(SUM(AT85:AV85)=0,0,BA85/SUM(AT85:AV85))</f>
        <v>0.354840351490154</v>
      </c>
      <c r="BC85" s="39" t="n">
        <f aca="false">AY85+BA85</f>
        <v>161606.851377709</v>
      </c>
      <c r="BD85" s="37" t="n">
        <f aca="false">SUM(AH85:AK85)*AZ85+SUM(AL85:AN85)*BB85</f>
        <v>17.9141301815682</v>
      </c>
      <c r="BE85" s="37" t="n">
        <f aca="false">MAX(0,SUM(AH85:AK85)*(1-AZ85)-Assumptions!$C$79)</f>
        <v>0</v>
      </c>
      <c r="BF85" s="39" t="n">
        <f aca="false">AP85*AZ85</f>
        <v>11409.4015602517</v>
      </c>
      <c r="BG85" s="39" t="n">
        <f aca="false">AQ85*AZ85</f>
        <v>10594.444305948</v>
      </c>
      <c r="BH85" s="39" t="n">
        <f aca="false">AR85*AZ85</f>
        <v>74704.4149778385</v>
      </c>
      <c r="BI85" s="39" t="n">
        <f aca="false">AS85*AZ85</f>
        <v>0</v>
      </c>
      <c r="BJ85" s="39" t="n">
        <f aca="false">AT85*BB85</f>
        <v>13312.5313915222</v>
      </c>
      <c r="BK85" s="39" t="n">
        <f aca="false">AU85*BB85</f>
        <v>42433.6938104769</v>
      </c>
      <c r="BL85" s="39" t="n">
        <f aca="false">AV85*BB85</f>
        <v>9152.36533167149</v>
      </c>
      <c r="BM85" s="39" t="n">
        <f aca="false">H85*(Assumptions!$C$68+Assumptions!$C$66)*Assumptions!$F$10</f>
        <v>0</v>
      </c>
      <c r="BN85" s="39" t="n">
        <f aca="false">K85*$C$19+L85*$D$19+M85*$E$19+N85*$F$19+O85*$G$19</f>
        <v>0</v>
      </c>
      <c r="BO85" s="39" t="n">
        <f aca="false">Assumptions!$C$99*W85</f>
        <v>8826.22175972884</v>
      </c>
      <c r="BP85" s="39" t="n">
        <f aca="false">Assumptions!G$98/12+P85*Assumptions!$C$101/12</f>
        <v>14864.8333333333</v>
      </c>
      <c r="BQ85" s="39" t="n">
        <f aca="false">BD85*Assumptions!$C$102/12+Assumptions!$C$100</f>
        <v>4578.53254539205</v>
      </c>
      <c r="BR85" s="39" t="n">
        <f aca="false">SUM(BF85:BQ85)</f>
        <v>189876.439016163</v>
      </c>
      <c r="BS85" s="39" t="n">
        <f aca="false">W85-AD85-BR85</f>
        <v>147984.288514211</v>
      </c>
      <c r="BT85" s="39" t="n">
        <f aca="false">MAX(0,BD85-BD84)*Assumptions!$C$103</f>
        <v>0</v>
      </c>
      <c r="BU85" s="39" t="n">
        <f aca="false">0</f>
        <v>0</v>
      </c>
      <c r="BV85" s="39" t="n">
        <f aca="false">-(W85-W84)*12*Assumptions!$C$108</f>
        <v>-13425.8254351812</v>
      </c>
      <c r="BW85" s="39" t="n">
        <f aca="false">0</f>
        <v>0</v>
      </c>
      <c r="BX85" s="39" t="n">
        <f aca="false">BS85-BT85+BU85+BV85+BW85</f>
        <v>134558.46307903</v>
      </c>
      <c r="BY85" s="29" t="n">
        <f aca="false">BY84+BX85</f>
        <v>846481.677368596</v>
      </c>
    </row>
    <row r="86" customFormat="false" ht="15" hidden="false" customHeight="false" outlineLevel="0" collapsed="false">
      <c r="A86" s="45" t="n">
        <v>56</v>
      </c>
      <c r="B86" s="45" t="n">
        <v>2031</v>
      </c>
      <c r="C86" s="45" t="n">
        <v>4</v>
      </c>
      <c r="D86" s="35" t="n">
        <f aca="false">ROUND(Assumptions!G$18*Assumptions!$F$7/12,0)</f>
        <v>250</v>
      </c>
      <c r="E86" s="35" t="n">
        <f aca="false">Rollout!$C$10-I85</f>
        <v>6830</v>
      </c>
      <c r="F86" s="39" t="n">
        <f aca="false">H86*$C$26+H85*$D$26+H84*$E$26+H83*$F$26+H82*$G$26+H81*$H$26+H80*$I$26+H79*$J$26+H78*$K$26+H77*$L$26+H76*$M$26+H75*$N$26</f>
        <v>30527.8564714987</v>
      </c>
      <c r="G86" s="39" t="n">
        <f aca="false">BY85-Assumptions!$C$110-F85-Assumptions!$C$111*(Assumptions!$C$100+Assumptions!G$98/12+BC85)</f>
        <v>179030.341613083</v>
      </c>
      <c r="H86" s="35" t="n">
        <f aca="false">IF(BE85&gt;0,0,MAX(0,MIN(D86,E86,INT(G86/$C$27))))</f>
        <v>250</v>
      </c>
      <c r="I86" s="35" t="n">
        <f aca="false">I85+H86</f>
        <v>1853</v>
      </c>
      <c r="J86" s="35" t="n">
        <f aca="false">SUM(H75:H86)</f>
        <v>1153</v>
      </c>
      <c r="K86" s="35" t="n">
        <f aca="false">H86*$C$23+H85*$D$23+H84*$E$23+H83*$F$23+H82*$G$23+H81*$H$23+H80*$I$23+H79*$J$23+H78*$K$23+H77*$L$23+H76*$M$23+H75*$N$23</f>
        <v>968.7173</v>
      </c>
      <c r="L86" s="35" t="n">
        <f aca="false">SUM(H63:H74)</f>
        <v>495</v>
      </c>
      <c r="M86" s="35" t="n">
        <f aca="false">SUM(H51:H62)</f>
        <v>172</v>
      </c>
      <c r="N86" s="35" t="n">
        <f aca="false">SUM(H39:H50)</f>
        <v>19</v>
      </c>
      <c r="O86" s="35" t="n">
        <f aca="false">SUM(H31:H38)</f>
        <v>14</v>
      </c>
      <c r="P86" s="35" t="n">
        <f aca="false">J86*$C$6+L86*$D$6+M86*$E$6+N86*$F$6+O86*$G$6</f>
        <v>1827.43</v>
      </c>
      <c r="Q86" s="39" t="n">
        <f aca="false">K86*$C$7+L86*$D$7+M86*$E$7+N86*$F$7+O86*$G$7</f>
        <v>168339.1339952</v>
      </c>
      <c r="R86" s="39" t="n">
        <f aca="false">K86*$C$8+L86*$D$8+M86*$E$8+N86*$F$8+O86*$G$8</f>
        <v>115145.731918464</v>
      </c>
      <c r="S86" s="39" t="n">
        <f aca="false">K86*$C$9+L86*$D$9+M86*$E$9+N86*$F$9+O86*$G$9</f>
        <v>56836.5336</v>
      </c>
      <c r="T86" s="39" t="n">
        <f aca="false">K86*$C$10+L86*$D$10+M86*$E$10+N86*$F$10+O86*$G$10</f>
        <v>79063.41774555</v>
      </c>
      <c r="U86" s="39" t="n">
        <f aca="false">K86*$C$11+L86*$D$11+M86*$E$11+N86*$F$11+O86*$G$11</f>
        <v>71777.1033</v>
      </c>
      <c r="V86" s="39" t="n">
        <f aca="false">K86*$C$12+L86*$D$12+M86*$E$12+N86*$F$12+O86*$G$12</f>
        <v>23491.011264</v>
      </c>
      <c r="W86" s="39" t="n">
        <f aca="false">SUM(Q86:V86)</f>
        <v>514652.931823214</v>
      </c>
      <c r="X86" s="39" t="n">
        <f aca="false">J86*$C$14+L86*$D$14+M86*$E$14+N86*$F$14+O86*$G$14</f>
        <v>58141.2083083333</v>
      </c>
      <c r="Y86" s="39" t="n">
        <f aca="false">J86*$C$15+L86*$D$15+M86*$E$15+N86*$F$15+O86*$G$15</f>
        <v>45685.75</v>
      </c>
      <c r="Z86" s="39" t="n">
        <f aca="false">K86*$C$16+L86*$D$16+M86*$E$16+N86*$F$16+O86*$G$16</f>
        <v>930.316190685</v>
      </c>
      <c r="AA86" s="39" t="n">
        <f aca="false">K86*$C$17+L86*$D$17+M86*$E$17+N86*$F$17+O86*$G$17</f>
        <v>13440.4708688691</v>
      </c>
      <c r="AB86" s="39" t="n">
        <f aca="false">J86*$C$18+L86*$D$18+M86*$E$18+N86*$F$18+O86*$G$18</f>
        <v>1124.05</v>
      </c>
      <c r="AC86" s="39" t="n">
        <f aca="false">H86*Assumptions!$C$67*Assumptions!$F$10</f>
        <v>3750</v>
      </c>
      <c r="AD86" s="39" t="n">
        <f aca="false">SUM(X86:AC86)</f>
        <v>123071.795367887</v>
      </c>
      <c r="AE86" s="35" t="n">
        <f aca="false">K86*$C$20+L86*$D$20+M86*$E$20+N86*$F$20+O86*$G$20</f>
        <v>372126.476274</v>
      </c>
      <c r="AF86" s="35" t="n">
        <f aca="false">K86*$C$21+L86*$D$21+M86*$E$21+N86*$F$21+O86*$G$21</f>
        <v>20503568.6716</v>
      </c>
      <c r="AG86" s="35" t="n">
        <f aca="false">K86*$C$22+L86*$D$22+M86*$E$22+N86*$F$22+O86*$G$22</f>
        <v>17972.138924576</v>
      </c>
      <c r="AH86" s="37" t="n">
        <f aca="false">P86/Assumptions!$C$76</f>
        <v>1.82743</v>
      </c>
      <c r="AI86" s="37" t="n">
        <f aca="false">P86/Assumptions!$C$77</f>
        <v>1.82743</v>
      </c>
      <c r="AJ86" s="37" t="n">
        <f aca="false">P86/Assumptions!$C$78</f>
        <v>15.2285833333333</v>
      </c>
      <c r="AK86" s="37" t="n">
        <f aca="false">H86/(Assumptions!$C$19/12)</f>
        <v>7.5</v>
      </c>
      <c r="AL86" s="37" t="n">
        <f aca="false">Assumptions!G$92</f>
        <v>2</v>
      </c>
      <c r="AM86" s="37" t="n">
        <f aca="false">Assumptions!G$93</f>
        <v>6</v>
      </c>
      <c r="AN86" s="37" t="n">
        <f aca="false">Assumptions!G$94</f>
        <v>2</v>
      </c>
      <c r="AO86" s="37" t="n">
        <f aca="false">SUM(AH86:AN86)</f>
        <v>36.3834433333333</v>
      </c>
      <c r="AP86" s="39" t="n">
        <f aca="false">AH86*Assumptions!$C$85*(1+Assumptions!$C$73)*(1+Assumptions!$C$74)^4/12</f>
        <v>14997.4166173001</v>
      </c>
      <c r="AQ86" s="39" t="n">
        <f aca="false">AI86*Assumptions!$C$86*(1+Assumptions!$C$73)*(1+Assumptions!$C$74)^4/12</f>
        <v>13926.1725732072</v>
      </c>
      <c r="AR86" s="39" t="n">
        <f aca="false">AJ86*Assumptions!$C$87*(1+Assumptions!$C$73)*(1+Assumptions!$C$74)^4/12</f>
        <v>98197.3707085126</v>
      </c>
      <c r="AS86" s="39" t="n">
        <f aca="false">AK86*Assumptions!$C$85*(1+Assumptions!$C$73)*(1+Assumptions!$C$74)^4/12</f>
        <v>61551.263046875</v>
      </c>
      <c r="AT86" s="39" t="n">
        <f aca="false">AL86*Assumptions!$C$83*(1+Assumptions!$C$73)*(1+Assumptions!$C$74)^4/12</f>
        <v>37516.9603333333</v>
      </c>
      <c r="AU86" s="39" t="n">
        <f aca="false">AM86*Assumptions!$C$84*(1+Assumptions!$C$73)*(1+Assumptions!$C$74)^4/12</f>
        <v>119585.3110625</v>
      </c>
      <c r="AV86" s="39" t="n">
        <f aca="false">AN86*Assumptions!$C$88*(1+Assumptions!$C$73)*(1+Assumptions!$C$74)^4/12</f>
        <v>25792.9102291667</v>
      </c>
      <c r="AW86" s="39" t="n">
        <f aca="false">SUM(AP86:AV86)</f>
        <v>371567.404570895</v>
      </c>
      <c r="AX86" s="39" t="n">
        <f aca="false">MIN(Assumptions!$C$80*W85,MAX(0,BS85+BC85))</f>
        <v>176524.435194577</v>
      </c>
      <c r="AY86" s="39" t="n">
        <f aca="false">IF(SUM(AH86:AK86)&lt;=0,0,MIN(AX86,SUM(AP86:AS86)*MAX(0,1-Assumptions!$C$79/SUM(AH86:AK86))))</f>
        <v>174369.903073377</v>
      </c>
      <c r="AZ86" s="36" t="n">
        <f aca="false">IF(SUM(AP86:AS86)=0,0,AY86/SUM(AP86:AS86))</f>
        <v>0.924194883331504</v>
      </c>
      <c r="BA86" s="39" t="n">
        <f aca="false">MIN(AX86-AY86,SUM(AT86:AV86))</f>
        <v>2154.5321212</v>
      </c>
      <c r="BB86" s="36" t="n">
        <f aca="false">IF(SUM(AT86:AV86)=0,0,BA86/SUM(AT86:AV86))</f>
        <v>0.0117801469784893</v>
      </c>
      <c r="BC86" s="39" t="n">
        <f aca="false">AY86+BA86</f>
        <v>176524.435194577</v>
      </c>
      <c r="BD86" s="37" t="n">
        <f aca="false">SUM(AH86:AK86)*AZ86+SUM(AL86:AN86)*BB86</f>
        <v>24.5012448031182</v>
      </c>
      <c r="BE86" s="37" t="n">
        <f aca="false">MAX(0,SUM(AH86:AK86)*(1-AZ86)-Assumptions!$C$79)</f>
        <v>0</v>
      </c>
      <c r="BF86" s="39" t="n">
        <f aca="false">AP86*AZ86</f>
        <v>13860.5357008996</v>
      </c>
      <c r="BG86" s="39" t="n">
        <f aca="false">AQ86*AZ86</f>
        <v>12870.4974365497</v>
      </c>
      <c r="BH86" s="39" t="n">
        <f aca="false">AR86*AZ86</f>
        <v>90753.5075654142</v>
      </c>
      <c r="BI86" s="39" t="n">
        <f aca="false">AS86*AZ86</f>
        <v>56885.3623705133</v>
      </c>
      <c r="BJ86" s="39" t="n">
        <f aca="false">AT86*BB86</f>
        <v>441.95530691282</v>
      </c>
      <c r="BK86" s="39" t="n">
        <f aca="false">AU86*BB86</f>
        <v>1408.73254078461</v>
      </c>
      <c r="BL86" s="39" t="n">
        <f aca="false">AV86*BB86</f>
        <v>303.844273502564</v>
      </c>
      <c r="BM86" s="39" t="n">
        <f aca="false">H86*(Assumptions!$C$68+Assumptions!$C$66)*Assumptions!$F$10</f>
        <v>6250</v>
      </c>
      <c r="BN86" s="39" t="n">
        <f aca="false">K86*$C$19+L86*$D$19+M86*$E$19+N86*$F$19+O86*$G$19</f>
        <v>0</v>
      </c>
      <c r="BO86" s="39" t="n">
        <f aca="false">Assumptions!$C$99*W86</f>
        <v>10293.0586364643</v>
      </c>
      <c r="BP86" s="39" t="n">
        <f aca="false">Assumptions!G$98/12+P86*Assumptions!$C$101/12</f>
        <v>16895.25</v>
      </c>
      <c r="BQ86" s="39" t="n">
        <f aca="false">BD86*Assumptions!$C$102/12+Assumptions!$C$100</f>
        <v>6225.31120077956</v>
      </c>
      <c r="BR86" s="39" t="n">
        <f aca="false">SUM(BF86:BQ86)</f>
        <v>216188.055031821</v>
      </c>
      <c r="BS86" s="39" t="n">
        <f aca="false">W86-AD86-BR86</f>
        <v>175393.081423506</v>
      </c>
      <c r="BT86" s="39" t="n">
        <f aca="false">MAX(0,BD86-BD85)*Assumptions!$C$103</f>
        <v>16467.7865538751</v>
      </c>
      <c r="BU86" s="39" t="n">
        <f aca="false">0</f>
        <v>0</v>
      </c>
      <c r="BV86" s="39" t="n">
        <f aca="false">-(W86-W85)*12*Assumptions!$C$108</f>
        <v>-26403.0637812379</v>
      </c>
      <c r="BW86" s="39" t="n">
        <f aca="false">0</f>
        <v>0</v>
      </c>
      <c r="BX86" s="39" t="n">
        <f aca="false">BS86-BT86+BU86+BV86+BW86</f>
        <v>132522.231088393</v>
      </c>
      <c r="BY86" s="29" t="n">
        <f aca="false">BY85+BX86</f>
        <v>979003.908456989</v>
      </c>
    </row>
    <row r="87" customFormat="false" ht="15" hidden="false" customHeight="false" outlineLevel="0" collapsed="false">
      <c r="A87" s="45" t="n">
        <v>57</v>
      </c>
      <c r="B87" s="45" t="n">
        <v>2031</v>
      </c>
      <c r="C87" s="45" t="n">
        <v>4</v>
      </c>
      <c r="D87" s="35" t="n">
        <f aca="false">ROUND(Assumptions!G$18*Assumptions!$F$7/12,0)</f>
        <v>250</v>
      </c>
      <c r="E87" s="35" t="n">
        <f aca="false">Rollout!$C$10-I86</f>
        <v>6580</v>
      </c>
      <c r="F87" s="39" t="n">
        <f aca="false">H87*$C$26+H86*$D$26+H85*$E$26+H84*$F$26+H83*$G$26+H82*$H$26+H81*$I$26+H80*$J$26+H79*$K$26+H78*$L$26+H77*$M$26+H76*$N$26</f>
        <v>39313.9471623733</v>
      </c>
      <c r="G87" s="39" t="n">
        <f aca="false">BY86-Assumptions!$C$110-F86-Assumptions!$C$111*(Assumptions!$C$100+Assumptions!G$98/12+BC86)</f>
        <v>234311.644540517</v>
      </c>
      <c r="H87" s="35" t="n">
        <f aca="false">IF(BE86&gt;0,0,MAX(0,MIN(D87,E87,INT(G87/$C$27))))</f>
        <v>250</v>
      </c>
      <c r="I87" s="35" t="n">
        <f aca="false">I86+H87</f>
        <v>2103</v>
      </c>
      <c r="J87" s="35" t="n">
        <f aca="false">SUM(H76:H87)</f>
        <v>1403</v>
      </c>
      <c r="K87" s="35" t="n">
        <f aca="false">H87*$C$23+H86*$D$23+H85*$E$23+H84*$F$23+H83*$G$23+H82*$H$23+H81*$I$23+H80*$J$23+H79*$K$23+H78*$L$23+H77*$M$23+H76*$N$23</f>
        <v>1178.3807</v>
      </c>
      <c r="L87" s="35" t="n">
        <f aca="false">SUM(H64:H75)</f>
        <v>470</v>
      </c>
      <c r="M87" s="35" t="n">
        <f aca="false">SUM(H52:H63)</f>
        <v>189</v>
      </c>
      <c r="N87" s="35" t="n">
        <f aca="false">SUM(H40:H51)</f>
        <v>27</v>
      </c>
      <c r="O87" s="35" t="n">
        <f aca="false">SUM(H31:H39)</f>
        <v>14</v>
      </c>
      <c r="P87" s="35" t="n">
        <f aca="false">J87*$C$6+L87*$D$6+M87*$E$6+N87*$F$6+O87*$G$6</f>
        <v>2076.85</v>
      </c>
      <c r="Q87" s="39" t="n">
        <f aca="false">K87*$C$7+L87*$D$7+M87*$E$7+N87*$F$7+O87*$G$7</f>
        <v>181348.0282768</v>
      </c>
      <c r="R87" s="39" t="n">
        <f aca="false">K87*$C$8+L87*$D$8+M87*$E$8+N87*$F$8+O87*$G$8</f>
        <v>123589.611365376</v>
      </c>
      <c r="S87" s="39" t="n">
        <f aca="false">K87*$C$9+L87*$D$9+M87*$E$9+N87*$F$9+O87*$G$9</f>
        <v>59398.1388</v>
      </c>
      <c r="T87" s="39" t="n">
        <f aca="false">K87*$C$10+L87*$D$10+M87*$E$10+N87*$F$10+O87*$G$10</f>
        <v>83735.00075745</v>
      </c>
      <c r="U87" s="39" t="n">
        <f aca="false">K87*$C$11+L87*$D$11+M87*$E$11+N87*$F$11+O87*$G$11</f>
        <v>77295.5547</v>
      </c>
      <c r="V87" s="39" t="n">
        <f aca="false">K87*$C$12+L87*$D$12+M87*$E$12+N87*$F$12+O87*$G$12</f>
        <v>26395.197696</v>
      </c>
      <c r="W87" s="39" t="n">
        <f aca="false">SUM(Q87:V87)</f>
        <v>551761.531595626</v>
      </c>
      <c r="X87" s="39" t="n">
        <f aca="false">J87*$C$14+L87*$D$14+M87*$E$14+N87*$F$14+O87*$G$14</f>
        <v>66076.7134583333</v>
      </c>
      <c r="Y87" s="39" t="n">
        <f aca="false">J87*$C$15+L87*$D$15+M87*$E$15+N87*$F$15+O87*$G$15</f>
        <v>51921.25</v>
      </c>
      <c r="Z87" s="39" t="n">
        <f aca="false">K87*$C$16+L87*$D$16+M87*$E$16+N87*$F$16+O87*$G$16</f>
        <v>1005.328039415</v>
      </c>
      <c r="AA87" s="39" t="n">
        <f aca="false">K87*$C$17+L87*$D$17+M87*$E$17+N87*$F$17+O87*$G$17</f>
        <v>14462.4513898183</v>
      </c>
      <c r="AB87" s="39" t="n">
        <f aca="false">J87*$C$18+L87*$D$18+M87*$E$18+N87*$F$18+O87*$G$18</f>
        <v>1123.08333333333</v>
      </c>
      <c r="AC87" s="39" t="n">
        <f aca="false">H87*Assumptions!$C$67*Assumptions!$F$10</f>
        <v>3750</v>
      </c>
      <c r="AD87" s="39" t="n">
        <f aca="false">SUM(X87:AC87)</f>
        <v>138338.8262209</v>
      </c>
      <c r="AE87" s="35" t="n">
        <f aca="false">K87*$C$20+L87*$D$20+M87*$E$20+N87*$F$20+O87*$G$20</f>
        <v>402131.215766</v>
      </c>
      <c r="AF87" s="35" t="n">
        <f aca="false">K87*$C$21+L87*$D$21+M87*$E$21+N87*$F$21+O87*$G$21</f>
        <v>22412741.7444</v>
      </c>
      <c r="AG87" s="35" t="n">
        <f aca="false">K87*$C$22+L87*$D$22+M87*$E$22+N87*$F$22+O87*$G$22</f>
        <v>19330.847333984</v>
      </c>
      <c r="AH87" s="37" t="n">
        <f aca="false">P87/Assumptions!$C$76</f>
        <v>2.07685</v>
      </c>
      <c r="AI87" s="37" t="n">
        <f aca="false">P87/Assumptions!$C$77</f>
        <v>2.07685</v>
      </c>
      <c r="AJ87" s="37" t="n">
        <f aca="false">P87/Assumptions!$C$78</f>
        <v>17.3070833333333</v>
      </c>
      <c r="AK87" s="37" t="n">
        <f aca="false">H87/(Assumptions!$C$19/12)</f>
        <v>7.5</v>
      </c>
      <c r="AL87" s="37" t="n">
        <f aca="false">Assumptions!G$92</f>
        <v>2</v>
      </c>
      <c r="AM87" s="37" t="n">
        <f aca="false">Assumptions!G$93</f>
        <v>6</v>
      </c>
      <c r="AN87" s="37" t="n">
        <f aca="false">Assumptions!G$94</f>
        <v>2</v>
      </c>
      <c r="AO87" s="37" t="n">
        <f aca="false">SUM(AH87:AN87)</f>
        <v>38.9607833333333</v>
      </c>
      <c r="AP87" s="39" t="n">
        <f aca="false">AH87*Assumptions!$C$85*(1+Assumptions!$C$73)*(1+Assumptions!$C$74)^4/12</f>
        <v>17044.365421187</v>
      </c>
      <c r="AQ87" s="39" t="n">
        <f aca="false">AI87*Assumptions!$C$86*(1+Assumptions!$C$73)*(1+Assumptions!$C$74)^4/12</f>
        <v>15826.9107482451</v>
      </c>
      <c r="AR87" s="39" t="n">
        <f aca="false">AJ87*Assumptions!$C$87*(1+Assumptions!$C$73)*(1+Assumptions!$C$74)^4/12</f>
        <v>111600.011686343</v>
      </c>
      <c r="AS87" s="39" t="n">
        <f aca="false">AK87*Assumptions!$C$85*(1+Assumptions!$C$73)*(1+Assumptions!$C$74)^4/12</f>
        <v>61551.263046875</v>
      </c>
      <c r="AT87" s="39" t="n">
        <f aca="false">AL87*Assumptions!$C$83*(1+Assumptions!$C$73)*(1+Assumptions!$C$74)^4/12</f>
        <v>37516.9603333333</v>
      </c>
      <c r="AU87" s="39" t="n">
        <f aca="false">AM87*Assumptions!$C$84*(1+Assumptions!$C$73)*(1+Assumptions!$C$74)^4/12</f>
        <v>119585.3110625</v>
      </c>
      <c r="AV87" s="39" t="n">
        <f aca="false">AN87*Assumptions!$C$88*(1+Assumptions!$C$73)*(1+Assumptions!$C$74)^4/12</f>
        <v>25792.9102291667</v>
      </c>
      <c r="AW87" s="39" t="n">
        <f aca="false">SUM(AP87:AV87)</f>
        <v>388917.73252765</v>
      </c>
      <c r="AX87" s="39" t="n">
        <f aca="false">MIN(Assumptions!$C$80*W86,MAX(0,BS86+BC86))</f>
        <v>205861.172729286</v>
      </c>
      <c r="AY87" s="39" t="n">
        <f aca="false">IF(SUM(AH87:AK87)&lt;=0,0,MIN(AX87,SUM(AP87:AS87)*MAX(0,1-Assumptions!$C$79/SUM(AH87:AK87))))</f>
        <v>191794.859024888</v>
      </c>
      <c r="AZ87" s="36" t="n">
        <f aca="false">IF(SUM(AP87:AS87)=0,0,AY87/SUM(AP87:AS87))</f>
        <v>0.930941094480064</v>
      </c>
      <c r="BA87" s="39" t="n">
        <f aca="false">MIN(AX87-AY87,SUM(AT87:AV87))</f>
        <v>14066.3137043976</v>
      </c>
      <c r="BB87" s="36" t="n">
        <f aca="false">IF(SUM(AT87:AV87)=0,0,BA87/SUM(AT87:AV87))</f>
        <v>0.0769091540816996</v>
      </c>
      <c r="BC87" s="39" t="n">
        <f aca="false">AY87+BA87</f>
        <v>205861.172729286</v>
      </c>
      <c r="BD87" s="37" t="n">
        <f aca="false">SUM(AH87:AK87)*AZ87+SUM(AL87:AN87)*BB87</f>
        <v>27.7298748741503</v>
      </c>
      <c r="BE87" s="37" t="n">
        <f aca="false">MAX(0,SUM(AH87:AK87)*(1-AZ87)-Assumptions!$C$79)</f>
        <v>0</v>
      </c>
      <c r="BF87" s="39" t="n">
        <f aca="false">AP87*AZ87</f>
        <v>15867.300199918</v>
      </c>
      <c r="BG87" s="39" t="n">
        <f aca="false">AQ87*AZ87</f>
        <v>14733.9216142095</v>
      </c>
      <c r="BH87" s="39" t="n">
        <f aca="false">AR87*AZ87</f>
        <v>103893.037023272</v>
      </c>
      <c r="BI87" s="39" t="n">
        <f aca="false">AS87*AZ87</f>
        <v>57300.6001874881</v>
      </c>
      <c r="BJ87" s="39" t="n">
        <f aca="false">AT87*BB87</f>
        <v>2885.39768295335</v>
      </c>
      <c r="BK87" s="39" t="n">
        <f aca="false">AU87*BB87</f>
        <v>9197.20511441379</v>
      </c>
      <c r="BL87" s="39" t="n">
        <f aca="false">AV87*BB87</f>
        <v>1983.71090703042</v>
      </c>
      <c r="BM87" s="39" t="n">
        <f aca="false">H87*(Assumptions!$C$68+Assumptions!$C$66)*Assumptions!$F$10</f>
        <v>6250</v>
      </c>
      <c r="BN87" s="39" t="n">
        <f aca="false">K87*$C$19+L87*$D$19+M87*$E$19+N87*$F$19+O87*$G$19</f>
        <v>0</v>
      </c>
      <c r="BO87" s="39" t="n">
        <f aca="false">Assumptions!$C$99*W87</f>
        <v>11035.2306319125</v>
      </c>
      <c r="BP87" s="39" t="n">
        <f aca="false">Assumptions!G$98/12+P87*Assumptions!$C$101/12</f>
        <v>18973.75</v>
      </c>
      <c r="BQ87" s="39" t="n">
        <f aca="false">BD87*Assumptions!$C$102/12+Assumptions!$C$100</f>
        <v>7032.46871853758</v>
      </c>
      <c r="BR87" s="39" t="n">
        <f aca="false">SUM(BF87:BQ87)</f>
        <v>249152.622079736</v>
      </c>
      <c r="BS87" s="39" t="n">
        <f aca="false">W87-AD87-BR87</f>
        <v>164270.08329499</v>
      </c>
      <c r="BT87" s="39" t="n">
        <f aca="false">MAX(0,BD87-BD86)*Assumptions!$C$103</f>
        <v>8071.57517758023</v>
      </c>
      <c r="BU87" s="39" t="n">
        <f aca="false">0</f>
        <v>0</v>
      </c>
      <c r="BV87" s="39" t="n">
        <f aca="false">-(W87-W86)*12*Assumptions!$C$108</f>
        <v>-13359.0959180683</v>
      </c>
      <c r="BW87" s="39" t="n">
        <f aca="false">0</f>
        <v>0</v>
      </c>
      <c r="BX87" s="39" t="n">
        <f aca="false">BS87-BT87+BU87+BV87+BW87</f>
        <v>142839.412199342</v>
      </c>
      <c r="BY87" s="29" t="n">
        <f aca="false">BY86+BX87</f>
        <v>1121843.32065633</v>
      </c>
    </row>
    <row r="88" customFormat="false" ht="15" hidden="false" customHeight="false" outlineLevel="0" collapsed="false">
      <c r="A88" s="45" t="n">
        <v>58</v>
      </c>
      <c r="B88" s="45" t="n">
        <v>2031</v>
      </c>
      <c r="C88" s="45" t="n">
        <v>4</v>
      </c>
      <c r="D88" s="35" t="n">
        <f aca="false">ROUND(Assumptions!G$18*Assumptions!$F$7/12,0)</f>
        <v>250</v>
      </c>
      <c r="E88" s="35" t="n">
        <f aca="false">Rollout!$C$10-I87</f>
        <v>6330</v>
      </c>
      <c r="F88" s="39" t="n">
        <f aca="false">H88*$C$26+H87*$D$26+H86*$E$26+H85*$F$26+H84*$G$26+H83*$H$26+H82*$I$26+H81*$J$26+H80*$K$26+H79*$L$26+H78*$M$26+H77*$N$26</f>
        <v>43485.12004951</v>
      </c>
      <c r="G88" s="39" t="n">
        <f aca="false">BY87-Assumptions!$C$110-F87-Assumptions!$C$111*(Assumptions!$C$100+Assumptions!G$98/12+BC87)</f>
        <v>251018.015910149</v>
      </c>
      <c r="H88" s="35" t="n">
        <f aca="false">IF(BE87&gt;0,0,MAX(0,MIN(D88,E88,INT(G88/$C$27))))</f>
        <v>250</v>
      </c>
      <c r="I88" s="35" t="n">
        <f aca="false">I87+H88</f>
        <v>2353</v>
      </c>
      <c r="J88" s="35" t="n">
        <f aca="false">SUM(H77:H88)</f>
        <v>1437</v>
      </c>
      <c r="K88" s="35" t="n">
        <f aca="false">H88*$C$23+H87*$D$23+H86*$E$23+H85*$F$23+H84*$G$23+H83*$H$23+H82*$I$23+H81*$J$23+H80*$K$23+H79*$L$23+H78*$M$23+H77*$N$23</f>
        <v>962.1773</v>
      </c>
      <c r="L88" s="35" t="n">
        <f aca="false">SUM(H65:H76)</f>
        <v>662</v>
      </c>
      <c r="M88" s="35" t="n">
        <f aca="false">SUM(H53:H64)</f>
        <v>203</v>
      </c>
      <c r="N88" s="35" t="n">
        <f aca="false">SUM(H41:H52)</f>
        <v>34</v>
      </c>
      <c r="O88" s="35" t="n">
        <f aca="false">SUM(H31:H40)</f>
        <v>17</v>
      </c>
      <c r="P88" s="35" t="n">
        <f aca="false">J88*$C$6+L88*$D$6+M88*$E$6+N88*$F$6+O88*$G$6</f>
        <v>2319.76</v>
      </c>
      <c r="Q88" s="39" t="n">
        <f aca="false">K88*$C$7+L88*$D$7+M88*$E$7+N88*$F$7+O88*$G$7</f>
        <v>204465.8750512</v>
      </c>
      <c r="R88" s="39" t="n">
        <f aca="false">K88*$C$8+L88*$D$8+M88*$E$8+N88*$F$8+O88*$G$8</f>
        <v>141798.343150464</v>
      </c>
      <c r="S88" s="39" t="n">
        <f aca="false">K88*$C$9+L88*$D$9+M88*$E$9+N88*$F$9+O88*$G$9</f>
        <v>73799.2332</v>
      </c>
      <c r="T88" s="39" t="n">
        <f aca="false">K88*$C$10+L88*$D$10+M88*$E$10+N88*$F$10+O88*$G$10</f>
        <v>100020.49406055</v>
      </c>
      <c r="U88" s="39" t="n">
        <f aca="false">K88*$C$11+L88*$D$11+M88*$E$11+N88*$F$11+O88*$G$11</f>
        <v>87094.8183</v>
      </c>
      <c r="V88" s="39" t="n">
        <f aca="false">K88*$C$12+L88*$D$12+M88*$E$12+N88*$F$12+O88*$G$12</f>
        <v>29272.97184</v>
      </c>
      <c r="W88" s="39" t="n">
        <f aca="false">SUM(Q88:V88)</f>
        <v>636451.735602214</v>
      </c>
      <c r="X88" s="39" t="n">
        <f aca="false">J88*$C$14+L88*$D$14+M88*$E$14+N88*$F$14+O88*$G$14</f>
        <v>73805.0975333333</v>
      </c>
      <c r="Y88" s="39" t="n">
        <f aca="false">J88*$C$15+L88*$D$15+M88*$E$15+N88*$F$15+O88*$G$15</f>
        <v>57994</v>
      </c>
      <c r="Z88" s="39" t="n">
        <f aca="false">K88*$C$16+L88*$D$16+M88*$E$16+N88*$F$16+O88*$G$16</f>
        <v>1121.351115185</v>
      </c>
      <c r="AA88" s="39" t="n">
        <f aca="false">K88*$C$17+L88*$D$17+M88*$E$17+N88*$F$17+O88*$G$17</f>
        <v>16396.1284116211</v>
      </c>
      <c r="AB88" s="39" t="n">
        <f aca="false">J88*$C$18+L88*$D$18+M88*$E$18+N88*$F$18+O88*$G$18</f>
        <v>1471.26666666667</v>
      </c>
      <c r="AC88" s="39" t="n">
        <f aca="false">H88*Assumptions!$C$67*Assumptions!$F$10</f>
        <v>3750</v>
      </c>
      <c r="AD88" s="39" t="n">
        <f aca="false">SUM(X88:AC88)</f>
        <v>154537.843726806</v>
      </c>
      <c r="AE88" s="35" t="n">
        <f aca="false">K88*$C$20+L88*$D$20+M88*$E$20+N88*$F$20+O88*$G$20</f>
        <v>448540.446074</v>
      </c>
      <c r="AF88" s="35" t="n">
        <f aca="false">K88*$C$21+L88*$D$21+M88*$E$21+N88*$F$21+O88*$G$21</f>
        <v>24276868.2716</v>
      </c>
      <c r="AG88" s="35" t="n">
        <f aca="false">K88*$C$22+L88*$D$22+M88*$E$22+N88*$F$22+O88*$G$22</f>
        <v>21927.000412576</v>
      </c>
      <c r="AH88" s="37" t="n">
        <f aca="false">P88/Assumptions!$C$76</f>
        <v>2.31976</v>
      </c>
      <c r="AI88" s="37" t="n">
        <f aca="false">P88/Assumptions!$C$77</f>
        <v>2.31976</v>
      </c>
      <c r="AJ88" s="37" t="n">
        <f aca="false">P88/Assumptions!$C$78</f>
        <v>19.3313333333333</v>
      </c>
      <c r="AK88" s="37" t="n">
        <f aca="false">H88/(Assumptions!$C$19/12)</f>
        <v>7.5</v>
      </c>
      <c r="AL88" s="37" t="n">
        <f aca="false">Assumptions!G$92</f>
        <v>2</v>
      </c>
      <c r="AM88" s="37" t="n">
        <f aca="false">Assumptions!G$93</f>
        <v>6</v>
      </c>
      <c r="AN88" s="37" t="n">
        <f aca="false">Assumptions!G$94</f>
        <v>2</v>
      </c>
      <c r="AO88" s="37" t="n">
        <f aca="false">SUM(AH88:AN88)</f>
        <v>41.4708533333333</v>
      </c>
      <c r="AP88" s="39" t="n">
        <f aca="false">AH88*Assumptions!$C$85*(1+Assumptions!$C$73)*(1+Assumptions!$C$74)^4/12</f>
        <v>19037.8877287492</v>
      </c>
      <c r="AQ88" s="39" t="n">
        <f aca="false">AI88*Assumptions!$C$86*(1+Assumptions!$C$73)*(1+Assumptions!$C$74)^4/12</f>
        <v>17678.0386052671</v>
      </c>
      <c r="AR88" s="39" t="n">
        <f aca="false">AJ88*Assumptions!$C$87*(1+Assumptions!$C$73)*(1+Assumptions!$C$74)^4/12</f>
        <v>124652.836319191</v>
      </c>
      <c r="AS88" s="39" t="n">
        <f aca="false">AK88*Assumptions!$C$85*(1+Assumptions!$C$73)*(1+Assumptions!$C$74)^4/12</f>
        <v>61551.263046875</v>
      </c>
      <c r="AT88" s="39" t="n">
        <f aca="false">AL88*Assumptions!$C$83*(1+Assumptions!$C$73)*(1+Assumptions!$C$74)^4/12</f>
        <v>37516.9603333333</v>
      </c>
      <c r="AU88" s="39" t="n">
        <f aca="false">AM88*Assumptions!$C$84*(1+Assumptions!$C$73)*(1+Assumptions!$C$74)^4/12</f>
        <v>119585.3110625</v>
      </c>
      <c r="AV88" s="39" t="n">
        <f aca="false">AN88*Assumptions!$C$88*(1+Assumptions!$C$73)*(1+Assumptions!$C$74)^4/12</f>
        <v>25792.9102291667</v>
      </c>
      <c r="AW88" s="39" t="n">
        <f aca="false">SUM(AP88:AV88)</f>
        <v>405815.207325082</v>
      </c>
      <c r="AX88" s="39" t="n">
        <f aca="false">MIN(Assumptions!$C$80*W87,MAX(0,BS87+BC87))</f>
        <v>220704.61263825</v>
      </c>
      <c r="AY88" s="39" t="n">
        <f aca="false">IF(SUM(AH88:AK88)&lt;=0,0,MIN(AX88,SUM(AP88:AS88)*MAX(0,1-Assumptions!$C$79/SUM(AH88:AK88))))</f>
        <v>208753.264898336</v>
      </c>
      <c r="AZ88" s="36" t="n">
        <f aca="false">IF(SUM(AP88:AS88)=0,0,AY88/SUM(AP88:AS88))</f>
        <v>0.936449133462751</v>
      </c>
      <c r="BA88" s="39" t="n">
        <f aca="false">MIN(AX88-AY88,SUM(AT88:AV88))</f>
        <v>11951.3477399142</v>
      </c>
      <c r="BB88" s="36" t="n">
        <f aca="false">IF(SUM(AT88:AV88)=0,0,BA88/SUM(AT88:AV88))</f>
        <v>0.065345339520309</v>
      </c>
      <c r="BC88" s="39" t="n">
        <f aca="false">AY88+BA88</f>
        <v>220704.61263825</v>
      </c>
      <c r="BD88" s="37" t="n">
        <f aca="false">SUM(AH88:AK88)*AZ88+SUM(AL88:AN88)*BB88</f>
        <v>30.1243067285364</v>
      </c>
      <c r="BE88" s="37" t="n">
        <f aca="false">MAX(0,SUM(AH88:AK88)*(1-AZ88)-Assumptions!$C$79)</f>
        <v>0</v>
      </c>
      <c r="BF88" s="39" t="n">
        <f aca="false">AP88*AZ88</f>
        <v>17828.0134665483</v>
      </c>
      <c r="BG88" s="39" t="n">
        <f aca="false">AQ88*AZ88</f>
        <v>16554.5839332234</v>
      </c>
      <c r="BH88" s="39" t="n">
        <f aca="false">AR88*AZ88</f>
        <v>116731.040554781</v>
      </c>
      <c r="BI88" s="39" t="n">
        <f aca="false">AS88*AZ88</f>
        <v>57639.6269437839</v>
      </c>
      <c r="BJ88" s="39" t="n">
        <f aca="false">AT88*BB88</f>
        <v>2451.55851075163</v>
      </c>
      <c r="BK88" s="39" t="n">
        <f aca="false">AU88*BB88</f>
        <v>7814.34275302082</v>
      </c>
      <c r="BL88" s="39" t="n">
        <f aca="false">AV88*BB88</f>
        <v>1685.44647614175</v>
      </c>
      <c r="BM88" s="39" t="n">
        <f aca="false">H88*(Assumptions!$C$68+Assumptions!$C$66)*Assumptions!$F$10</f>
        <v>6250</v>
      </c>
      <c r="BN88" s="39" t="n">
        <f aca="false">K88*$C$19+L88*$D$19+M88*$E$19+N88*$F$19+O88*$G$19</f>
        <v>0</v>
      </c>
      <c r="BO88" s="39" t="n">
        <f aca="false">Assumptions!$C$99*W88</f>
        <v>12729.0347120443</v>
      </c>
      <c r="BP88" s="39" t="n">
        <f aca="false">Assumptions!G$98/12+P88*Assumptions!$C$101/12</f>
        <v>20998</v>
      </c>
      <c r="BQ88" s="39" t="n">
        <f aca="false">BD88*Assumptions!$C$102/12+Assumptions!$C$100</f>
        <v>7631.07668213411</v>
      </c>
      <c r="BR88" s="39" t="n">
        <f aca="false">SUM(BF88:BQ88)</f>
        <v>268312.724032429</v>
      </c>
      <c r="BS88" s="39" t="n">
        <f aca="false">W88-AD88-BR88</f>
        <v>213601.167842979</v>
      </c>
      <c r="BT88" s="39" t="n">
        <f aca="false">MAX(0,BD88-BD87)*Assumptions!$C$103</f>
        <v>5986.07963596525</v>
      </c>
      <c r="BU88" s="39" t="n">
        <f aca="false">0</f>
        <v>0</v>
      </c>
      <c r="BV88" s="39" t="n">
        <f aca="false">-(W88-W87)*12*Assumptions!$C$108</f>
        <v>-30488.4734423718</v>
      </c>
      <c r="BW88" s="39" t="n">
        <f aca="false">0</f>
        <v>0</v>
      </c>
      <c r="BX88" s="39" t="n">
        <f aca="false">BS88-BT88+BU88+BV88+BW88</f>
        <v>177126.614764642</v>
      </c>
      <c r="BY88" s="29" t="n">
        <f aca="false">BY87+BX88</f>
        <v>1298969.93542097</v>
      </c>
    </row>
    <row r="89" customFormat="false" ht="15" hidden="false" customHeight="false" outlineLevel="0" collapsed="false">
      <c r="A89" s="45" t="n">
        <v>59</v>
      </c>
      <c r="B89" s="45" t="n">
        <v>2031</v>
      </c>
      <c r="C89" s="45" t="n">
        <v>4</v>
      </c>
      <c r="D89" s="35" t="n">
        <f aca="false">ROUND(Assumptions!G$18*Assumptions!$F$7/12,0)</f>
        <v>250</v>
      </c>
      <c r="E89" s="35" t="n">
        <f aca="false">Rollout!$C$10-I88</f>
        <v>6080</v>
      </c>
      <c r="F89" s="39" t="n">
        <f aca="false">H89*$C$26+H88*$D$26+H87*$E$26+H86*$F$26+H85*$G$26+H84*$H$26+H83*$I$26+H82*$J$26+H81*$K$26+H80*$L$26+H79*$M$26+H78*$N$26</f>
        <v>43485.12004951</v>
      </c>
      <c r="G89" s="39" t="n">
        <f aca="false">BY88-Assumptions!$C$110-F88-Assumptions!$C$111*(Assumptions!$C$100+Assumptions!G$98/12+BC88)</f>
        <v>364599.698151795</v>
      </c>
      <c r="H89" s="35" t="n">
        <f aca="false">IF(BE88&gt;0,0,MAX(0,MIN(D89,E89,INT(G89/$C$27))))</f>
        <v>250</v>
      </c>
      <c r="I89" s="35" t="n">
        <f aca="false">I88+H89</f>
        <v>2603</v>
      </c>
      <c r="J89" s="35" t="n">
        <f aca="false">SUM(H78:H89)</f>
        <v>1687</v>
      </c>
      <c r="K89" s="35" t="n">
        <f aca="false">H89*$C$23+H88*$D$23+H87*$E$23+H86*$F$23+H85*$G$23+H84*$H$23+H83*$I$23+H82*$J$23+H81*$K$23+H80*$L$23+H79*$M$23+H78*$N$23</f>
        <v>1223.4489</v>
      </c>
      <c r="L89" s="35" t="n">
        <f aca="false">SUM(H66:H77)</f>
        <v>647</v>
      </c>
      <c r="M89" s="35" t="n">
        <f aca="false">SUM(H54:H65)</f>
        <v>206</v>
      </c>
      <c r="N89" s="35" t="n">
        <f aca="false">SUM(H42:H53)</f>
        <v>42</v>
      </c>
      <c r="O89" s="35" t="n">
        <f aca="false">SUM(H31:H41)</f>
        <v>21</v>
      </c>
      <c r="P89" s="35" t="n">
        <f aca="false">J89*$C$6+L89*$D$6+M89*$E$6+N89*$F$6+O89*$G$6</f>
        <v>2569.3</v>
      </c>
      <c r="Q89" s="39" t="n">
        <f aca="false">K89*$C$7+L89*$D$7+M89*$E$7+N89*$F$7+O89*$G$7</f>
        <v>219553.9202416</v>
      </c>
      <c r="R89" s="39" t="n">
        <f aca="false">K89*$C$8+L89*$D$8+M89*$E$8+N89*$F$8+O89*$G$8</f>
        <v>151257.682397952</v>
      </c>
      <c r="S89" s="39" t="n">
        <f aca="false">K89*$C$9+L89*$D$9+M89*$E$9+N89*$F$9+O89*$G$9</f>
        <v>76086.4104</v>
      </c>
      <c r="T89" s="39" t="n">
        <f aca="false">K89*$C$10+L89*$D$10+M89*$E$10+N89*$F$10+O89*$G$10</f>
        <v>104840.35670115</v>
      </c>
      <c r="U89" s="39" t="n">
        <f aca="false">K89*$C$11+L89*$D$11+M89*$E$11+N89*$F$11+O89*$G$11</f>
        <v>93419.4219</v>
      </c>
      <c r="V89" s="39" t="n">
        <f aca="false">K89*$C$12+L89*$D$12+M89*$E$12+N89*$F$12+O89*$G$12</f>
        <v>31205.34144</v>
      </c>
      <c r="W89" s="39" t="n">
        <f aca="false">SUM(Q89:V89)</f>
        <v>676363.133080702</v>
      </c>
      <c r="X89" s="39" t="n">
        <f aca="false">J89*$C$14+L89*$D$14+M89*$E$14+N89*$F$14+O89*$G$14</f>
        <v>81744.4205833333</v>
      </c>
      <c r="Y89" s="39" t="n">
        <f aca="false">J89*$C$15+L89*$D$15+M89*$E$15+N89*$F$15+O89*$G$15</f>
        <v>64232.5</v>
      </c>
      <c r="Z89" s="39" t="n">
        <f aca="false">K89*$C$16+L89*$D$16+M89*$E$16+N89*$F$16+O89*$G$16</f>
        <v>1210.125898205</v>
      </c>
      <c r="AA89" s="39" t="n">
        <f aca="false">K89*$C$17+L89*$D$17+M89*$E$17+N89*$F$17+O89*$G$17</f>
        <v>17569.1889243774</v>
      </c>
      <c r="AB89" s="39" t="n">
        <f aca="false">J89*$C$18+L89*$D$18+M89*$E$18+N89*$F$18+O89*$G$18</f>
        <v>1470.5</v>
      </c>
      <c r="AC89" s="39" t="n">
        <f aca="false">H89*Assumptions!$C$67*Assumptions!$F$10</f>
        <v>3750</v>
      </c>
      <c r="AD89" s="39" t="n">
        <f aca="false">SUM(X89:AC89)</f>
        <v>169976.735405916</v>
      </c>
      <c r="AE89" s="35" t="n">
        <f aca="false">K89*$C$20+L89*$D$20+M89*$E$20+N89*$F$20+O89*$G$20</f>
        <v>484050.359282</v>
      </c>
      <c r="AF89" s="35" t="n">
        <f aca="false">K89*$C$21+L89*$D$21+M89*$E$21+N89*$F$21+O89*$G$21</f>
        <v>26558177.8588</v>
      </c>
      <c r="AG89" s="35" t="n">
        <f aca="false">K89*$C$22+L89*$D$22+M89*$E$22+N89*$F$22+O89*$G$22</f>
        <v>23487.391092768</v>
      </c>
      <c r="AH89" s="37" t="n">
        <f aca="false">P89/Assumptions!$C$76</f>
        <v>2.5693</v>
      </c>
      <c r="AI89" s="37" t="n">
        <f aca="false">P89/Assumptions!$C$77</f>
        <v>2.5693</v>
      </c>
      <c r="AJ89" s="37" t="n">
        <f aca="false">P89/Assumptions!$C$78</f>
        <v>21.4108333333333</v>
      </c>
      <c r="AK89" s="37" t="n">
        <f aca="false">H89/(Assumptions!$C$19/12)</f>
        <v>7.5</v>
      </c>
      <c r="AL89" s="37" t="n">
        <f aca="false">Assumptions!G$92</f>
        <v>2</v>
      </c>
      <c r="AM89" s="37" t="n">
        <f aca="false">Assumptions!G$93</f>
        <v>6</v>
      </c>
      <c r="AN89" s="37" t="n">
        <f aca="false">Assumptions!G$94</f>
        <v>2</v>
      </c>
      <c r="AO89" s="37" t="n">
        <f aca="false">SUM(AH89:AN89)</f>
        <v>44.0494333333333</v>
      </c>
      <c r="AP89" s="39" t="n">
        <f aca="false">AH89*Assumptions!$C$85*(1+Assumptions!$C$73)*(1+Assumptions!$C$74)^4/12</f>
        <v>21085.8213528448</v>
      </c>
      <c r="AQ89" s="39" t="n">
        <f aca="false">AI89*Assumptions!$C$86*(1+Assumptions!$C$73)*(1+Assumptions!$C$74)^4/12</f>
        <v>19579.691256213</v>
      </c>
      <c r="AR89" s="39" t="n">
        <f aca="false">AJ89*Assumptions!$C$87*(1+Assumptions!$C$73)*(1+Assumptions!$C$74)^4/12</f>
        <v>138061.925524579</v>
      </c>
      <c r="AS89" s="39" t="n">
        <f aca="false">AK89*Assumptions!$C$85*(1+Assumptions!$C$73)*(1+Assumptions!$C$74)^4/12</f>
        <v>61551.263046875</v>
      </c>
      <c r="AT89" s="39" t="n">
        <f aca="false">AL89*Assumptions!$C$83*(1+Assumptions!$C$73)*(1+Assumptions!$C$74)^4/12</f>
        <v>37516.9603333333</v>
      </c>
      <c r="AU89" s="39" t="n">
        <f aca="false">AM89*Assumptions!$C$84*(1+Assumptions!$C$73)*(1+Assumptions!$C$74)^4/12</f>
        <v>119585.3110625</v>
      </c>
      <c r="AV89" s="39" t="n">
        <f aca="false">AN89*Assumptions!$C$88*(1+Assumptions!$C$73)*(1+Assumptions!$C$74)^4/12</f>
        <v>25792.9102291667</v>
      </c>
      <c r="AW89" s="39" t="n">
        <f aca="false">SUM(AP89:AV89)</f>
        <v>423173.882805512</v>
      </c>
      <c r="AX89" s="39" t="n">
        <f aca="false">MIN(Assumptions!$C$80*W88,MAX(0,BS88+BC88))</f>
        <v>254580.694240886</v>
      </c>
      <c r="AY89" s="39" t="n">
        <f aca="false">IF(SUM(AH89:AK89)&lt;=0,0,MIN(AX89,SUM(AP89:AS89)*MAX(0,1-Assumptions!$C$79/SUM(AH89:AK89))))</f>
        <v>226165.179887616</v>
      </c>
      <c r="AZ89" s="36" t="n">
        <f aca="false">IF(SUM(AP89:AS89)=0,0,AY89/SUM(AP89:AS89))</f>
        <v>0.941261871220569</v>
      </c>
      <c r="BA89" s="39" t="n">
        <f aca="false">MIN(AX89-AY89,SUM(AT89:AV89))</f>
        <v>28415.5143532693</v>
      </c>
      <c r="BB89" s="36" t="n">
        <f aca="false">IF(SUM(AT89:AV89)=0,0,BA89/SUM(AT89:AV89))</f>
        <v>0.155365024386105</v>
      </c>
      <c r="BC89" s="39" t="n">
        <f aca="false">AY89+BA89</f>
        <v>254580.694240886</v>
      </c>
      <c r="BD89" s="37" t="n">
        <f aca="false">SUM(AH89:AK89)*AZ89+SUM(AL89:AN89)*BB89</f>
        <v>33.6030835771944</v>
      </c>
      <c r="BE89" s="37" t="n">
        <f aca="false">MAX(0,SUM(AH89:AK89)*(1-AZ89)-Assumptions!$C$79)</f>
        <v>0</v>
      </c>
      <c r="BF89" s="39" t="n">
        <f aca="false">AP89*AZ89</f>
        <v>19847.2796628013</v>
      </c>
      <c r="BG89" s="39" t="n">
        <f aca="false">AQ89*AZ89</f>
        <v>18429.6168297441</v>
      </c>
      <c r="BH89" s="39" t="n">
        <f aca="false">AR89*AZ89</f>
        <v>129952.42636358</v>
      </c>
      <c r="BI89" s="39" t="n">
        <f aca="false">AS89*AZ89</f>
        <v>57935.857031491</v>
      </c>
      <c r="BJ89" s="39" t="n">
        <f aca="false">AT89*BB89</f>
        <v>5828.82345708088</v>
      </c>
      <c r="BK89" s="39" t="n">
        <f aca="false">AU89*BB89</f>
        <v>18579.3747694453</v>
      </c>
      <c r="BL89" s="39" t="n">
        <f aca="false">AV89*BB89</f>
        <v>4007.3161267431</v>
      </c>
      <c r="BM89" s="39" t="n">
        <f aca="false">H89*(Assumptions!$C$68+Assumptions!$C$66)*Assumptions!$F$10</f>
        <v>6250</v>
      </c>
      <c r="BN89" s="39" t="n">
        <f aca="false">K89*$C$19+L89*$D$19+M89*$E$19+N89*$F$19+O89*$G$19</f>
        <v>0</v>
      </c>
      <c r="BO89" s="39" t="n">
        <f aca="false">Assumptions!$C$99*W89</f>
        <v>13527.262661614</v>
      </c>
      <c r="BP89" s="39" t="n">
        <f aca="false">Assumptions!G$98/12+P89*Assumptions!$C$101/12</f>
        <v>23077.5</v>
      </c>
      <c r="BQ89" s="39" t="n">
        <f aca="false">BD89*Assumptions!$C$102/12+Assumptions!$C$100</f>
        <v>8500.7708942986</v>
      </c>
      <c r="BR89" s="39" t="n">
        <f aca="false">SUM(BF89:BQ89)</f>
        <v>305936.227796798</v>
      </c>
      <c r="BS89" s="39" t="n">
        <f aca="false">W89-AD89-BR89</f>
        <v>200450.169877988</v>
      </c>
      <c r="BT89" s="39" t="n">
        <f aca="false">MAX(0,BD89-BD88)*Assumptions!$C$103</f>
        <v>8696.94212164491</v>
      </c>
      <c r="BU89" s="39" t="n">
        <f aca="false">0</f>
        <v>0</v>
      </c>
      <c r="BV89" s="39" t="n">
        <f aca="false">-(W89-W88)*12*Assumptions!$C$108</f>
        <v>-14368.1030922556</v>
      </c>
      <c r="BW89" s="39" t="n">
        <f aca="false">0</f>
        <v>0</v>
      </c>
      <c r="BX89" s="39" t="n">
        <f aca="false">BS89-BT89+BU89+BV89+BW89</f>
        <v>177385.124664087</v>
      </c>
      <c r="BY89" s="29" t="n">
        <f aca="false">BY88+BX89</f>
        <v>1476355.06008506</v>
      </c>
    </row>
    <row r="90" customFormat="false" ht="15" hidden="false" customHeight="false" outlineLevel="0" collapsed="false">
      <c r="A90" s="45" t="n">
        <v>60</v>
      </c>
      <c r="B90" s="45" t="n">
        <v>2031</v>
      </c>
      <c r="C90" s="45" t="n">
        <v>4</v>
      </c>
      <c r="D90" s="35" t="n">
        <f aca="false">ROUND(Assumptions!G$18*Assumptions!$F$7/12,0)</f>
        <v>250</v>
      </c>
      <c r="E90" s="35" t="n">
        <f aca="false">Rollout!$C$10-I89</f>
        <v>5830</v>
      </c>
      <c r="F90" s="39" t="n">
        <f aca="false">H90*$C$26+H89*$D$26+H88*$E$26+H87*$F$26+H86*$G$26+H85*$H$26+H84*$I$26+H83*$J$26+H82*$K$26+H81*$L$26+H80*$M$26+H79*$N$26</f>
        <v>43485.12004951</v>
      </c>
      <c r="G90" s="39" t="n">
        <f aca="false">BY89-Assumptions!$C$110-F89-Assumptions!$C$111*(Assumptions!$C$100+Assumptions!G$98/12+BC89)</f>
        <v>406480.496405342</v>
      </c>
      <c r="H90" s="35" t="n">
        <f aca="false">IF(BE89&gt;0,0,MAX(0,MIN(D90,E90,INT(G90/$C$27))))</f>
        <v>250</v>
      </c>
      <c r="I90" s="35" t="n">
        <f aca="false">I89+H90</f>
        <v>2853</v>
      </c>
      <c r="J90" s="35" t="n">
        <f aca="false">SUM(H79:H90)</f>
        <v>1707</v>
      </c>
      <c r="K90" s="35" t="n">
        <f aca="false">H90*$C$23+H89*$D$23+H88*$E$23+H87*$F$23+H86*$G$23+H85*$H$23+H84*$I$23+H83*$J$23+H82*$K$23+H81*$L$23+H80*$M$23+H79*$N$23</f>
        <v>1028.3565</v>
      </c>
      <c r="L90" s="35" t="n">
        <f aca="false">SUM(H67:H78)</f>
        <v>864</v>
      </c>
      <c r="M90" s="35" t="n">
        <f aca="false">SUM(H55:H66)</f>
        <v>211</v>
      </c>
      <c r="N90" s="35" t="n">
        <f aca="false">SUM(H43:H54)</f>
        <v>43</v>
      </c>
      <c r="O90" s="35" t="n">
        <f aca="false">SUM(H31:H42)</f>
        <v>28</v>
      </c>
      <c r="P90" s="35" t="n">
        <f aca="false">J90*$C$6+L90*$D$6+M90*$E$6+N90*$F$6+O90*$G$6</f>
        <v>2811.99</v>
      </c>
      <c r="Q90" s="39" t="n">
        <f aca="false">K90*$C$7+L90*$D$7+M90*$E$7+N90*$F$7+O90*$G$7</f>
        <v>244790.405944</v>
      </c>
      <c r="R90" s="39" t="n">
        <f aca="false">K90*$C$8+L90*$D$8+M90*$E$8+N90*$F$8+O90*$G$8</f>
        <v>170475.67610112</v>
      </c>
      <c r="S90" s="39" t="n">
        <f aca="false">K90*$C$9+L90*$D$9+M90*$E$9+N90*$F$9+O90*$G$9</f>
        <v>90427.3524</v>
      </c>
      <c r="T90" s="39" t="n">
        <f aca="false">K90*$C$10+L90*$D$10+M90*$E$10+N90*$F$10+O90*$G$10</f>
        <v>121422.54217275</v>
      </c>
      <c r="U90" s="39" t="n">
        <f aca="false">K90*$C$11+L90*$D$11+M90*$E$11+N90*$F$11+O90*$G$11</f>
        <v>104089.1565</v>
      </c>
      <c r="V90" s="39" t="n">
        <f aca="false">K90*$C$12+L90*$D$12+M90*$E$12+N90*$F$12+O90*$G$12</f>
        <v>32898.058368</v>
      </c>
      <c r="W90" s="39" t="n">
        <f aca="false">SUM(Q90:V90)</f>
        <v>764103.19148587</v>
      </c>
      <c r="X90" s="39" t="n">
        <f aca="false">J90*$C$14+L90*$D$14+M90*$E$14+N90*$F$14+O90*$G$14</f>
        <v>89465.805175</v>
      </c>
      <c r="Y90" s="39" t="n">
        <f aca="false">J90*$C$15+L90*$D$15+M90*$E$15+N90*$F$15+O90*$G$15</f>
        <v>70299.75</v>
      </c>
      <c r="Z90" s="39" t="n">
        <f aca="false">K90*$C$16+L90*$D$16+M90*$E$16+N90*$F$16+O90*$G$16</f>
        <v>1339.639652925</v>
      </c>
      <c r="AA90" s="39" t="n">
        <f aca="false">K90*$C$17+L90*$D$17+M90*$E$17+N90*$F$17+O90*$G$17</f>
        <v>19655.8802439325</v>
      </c>
      <c r="AB90" s="39" t="n">
        <f aca="false">J90*$C$18+L90*$D$18+M90*$E$18+N90*$F$18+O90*$G$18</f>
        <v>1841.65</v>
      </c>
      <c r="AC90" s="39" t="n">
        <f aca="false">H90*Assumptions!$C$67*Assumptions!$F$10</f>
        <v>3750</v>
      </c>
      <c r="AD90" s="39" t="n">
        <f aca="false">SUM(X90:AC90)</f>
        <v>186352.725071857</v>
      </c>
      <c r="AE90" s="35" t="n">
        <f aca="false">K90*$C$20+L90*$D$20+M90*$E$20+N90*$F$20+O90*$G$20</f>
        <v>535855.86117</v>
      </c>
      <c r="AF90" s="35" t="n">
        <f aca="false">K90*$C$21+L90*$D$21+M90*$E$21+N90*$F$21+O90*$G$21</f>
        <v>28738709.678</v>
      </c>
      <c r="AG90" s="35" t="n">
        <f aca="false">K90*$C$22+L90*$D$22+M90*$E$22+N90*$F$22+O90*$G$22</f>
        <v>26290.62048208</v>
      </c>
      <c r="AH90" s="37" t="n">
        <f aca="false">P90/Assumptions!$C$76</f>
        <v>2.81199</v>
      </c>
      <c r="AI90" s="37" t="n">
        <f aca="false">P90/Assumptions!$C$77</f>
        <v>2.81199</v>
      </c>
      <c r="AJ90" s="37" t="n">
        <f aca="false">P90/Assumptions!$C$78</f>
        <v>23.43325</v>
      </c>
      <c r="AK90" s="37" t="n">
        <f aca="false">H90/(Assumptions!$C$19/12)</f>
        <v>7.5</v>
      </c>
      <c r="AL90" s="37" t="n">
        <f aca="false">Assumptions!G$92</f>
        <v>2</v>
      </c>
      <c r="AM90" s="37" t="n">
        <f aca="false">Assumptions!G$93</f>
        <v>6</v>
      </c>
      <c r="AN90" s="37" t="n">
        <f aca="false">Assumptions!G$94</f>
        <v>2</v>
      </c>
      <c r="AO90" s="37" t="n">
        <f aca="false">SUM(AH90:AN90)</f>
        <v>46.55723</v>
      </c>
      <c r="AP90" s="39" t="n">
        <f aca="false">AH90*Assumptions!$C$85*(1+Assumptions!$C$73)*(1+Assumptions!$C$74)^4/12</f>
        <v>23077.5381566909</v>
      </c>
      <c r="AQ90" s="39" t="n">
        <f aca="false">AI90*Assumptions!$C$86*(1+Assumptions!$C$73)*(1+Assumptions!$C$74)^4/12</f>
        <v>21429.1425740702</v>
      </c>
      <c r="AR90" s="39" t="n">
        <f aca="false">AJ90*Assumptions!$C$87*(1+Assumptions!$C$73)*(1+Assumptions!$C$74)^4/12</f>
        <v>151102.928406905</v>
      </c>
      <c r="AS90" s="39" t="n">
        <f aca="false">AK90*Assumptions!$C$85*(1+Assumptions!$C$73)*(1+Assumptions!$C$74)^4/12</f>
        <v>61551.263046875</v>
      </c>
      <c r="AT90" s="39" t="n">
        <f aca="false">AL90*Assumptions!$C$83*(1+Assumptions!$C$73)*(1+Assumptions!$C$74)^4/12</f>
        <v>37516.9603333333</v>
      </c>
      <c r="AU90" s="39" t="n">
        <f aca="false">AM90*Assumptions!$C$84*(1+Assumptions!$C$73)*(1+Assumptions!$C$74)^4/12</f>
        <v>119585.3110625</v>
      </c>
      <c r="AV90" s="39" t="n">
        <f aca="false">AN90*Assumptions!$C$88*(1+Assumptions!$C$73)*(1+Assumptions!$C$74)^4/12</f>
        <v>25792.9102291667</v>
      </c>
      <c r="AW90" s="39" t="n">
        <f aca="false">SUM(AP90:AV90)</f>
        <v>440056.053809541</v>
      </c>
      <c r="AX90" s="39" t="n">
        <f aca="false">MIN(Assumptions!$C$80*W89,MAX(0,BS89+BC89))</f>
        <v>270545.253232281</v>
      </c>
      <c r="AY90" s="39" t="n">
        <f aca="false">IF(SUM(AH90:AK90)&lt;=0,0,MIN(AX90,SUM(AP90:AS90)*MAX(0,1-Assumptions!$C$79/SUM(AH90:AK90))))</f>
        <v>243091.924828051</v>
      </c>
      <c r="AZ90" s="36" t="n">
        <f aca="false">IF(SUM(AP90:AS90)=0,0,AY90/SUM(AP90:AS90))</f>
        <v>0.945291259759014</v>
      </c>
      <c r="BA90" s="39" t="n">
        <f aca="false">MIN(AX90-AY90,SUM(AT90:AV90))</f>
        <v>27453.3284042293</v>
      </c>
      <c r="BB90" s="36" t="n">
        <f aca="false">IF(SUM(AT90:AV90)=0,0,BA90/SUM(AT90:AV90))</f>
        <v>0.15010416436513</v>
      </c>
      <c r="BC90" s="39" t="n">
        <f aca="false">AY90+BA90</f>
        <v>270545.253232281</v>
      </c>
      <c r="BD90" s="37" t="n">
        <f aca="false">SUM(AH90:AK90)*AZ90+SUM(AL90:AN90)*BB90</f>
        <v>36.0582716436513</v>
      </c>
      <c r="BE90" s="37" t="n">
        <f aca="false">MAX(0,SUM(AH90:AK90)*(1-AZ90)-Assumptions!$C$79)</f>
        <v>0</v>
      </c>
      <c r="BF90" s="39" t="n">
        <f aca="false">AP90*AZ90</f>
        <v>21814.9951162751</v>
      </c>
      <c r="BG90" s="39" t="n">
        <f aca="false">AQ90*AZ90</f>
        <v>20256.7811793983</v>
      </c>
      <c r="BH90" s="39" t="n">
        <f aca="false">AR90*AZ90</f>
        <v>142836.277547039</v>
      </c>
      <c r="BI90" s="39" t="n">
        <f aca="false">AS90*AZ90</f>
        <v>58183.8709853389</v>
      </c>
      <c r="BJ90" s="39" t="n">
        <f aca="false">AT90*BB90</f>
        <v>5631.45198035474</v>
      </c>
      <c r="BK90" s="39" t="n">
        <f aca="false">AU90*BB90</f>
        <v>17950.2531873807</v>
      </c>
      <c r="BL90" s="39" t="n">
        <f aca="false">AV90*BB90</f>
        <v>3871.62323649388</v>
      </c>
      <c r="BM90" s="39" t="n">
        <f aca="false">H90*(Assumptions!$C$68+Assumptions!$C$66)*Assumptions!$F$10</f>
        <v>6250</v>
      </c>
      <c r="BN90" s="39" t="n">
        <f aca="false">K90*$C$19+L90*$D$19+M90*$E$19+N90*$F$19+O90*$G$19</f>
        <v>0</v>
      </c>
      <c r="BO90" s="39" t="n">
        <f aca="false">Assumptions!$C$99*W90</f>
        <v>15282.0638297174</v>
      </c>
      <c r="BP90" s="39" t="n">
        <f aca="false">Assumptions!G$98/12+P90*Assumptions!$C$101/12</f>
        <v>25099.9166666667</v>
      </c>
      <c r="BQ90" s="39" t="n">
        <f aca="false">BD90*Assumptions!$C$102/12+Assumptions!$C$100</f>
        <v>9114.56791091282</v>
      </c>
      <c r="BR90" s="39" t="n">
        <f aca="false">SUM(BF90:BQ90)</f>
        <v>326291.801639578</v>
      </c>
      <c r="BS90" s="39" t="n">
        <f aca="false">W90-AD90-BR90</f>
        <v>251458.664774435</v>
      </c>
      <c r="BT90" s="39" t="n">
        <f aca="false">MAX(0,BD90-BD89)*Assumptions!$C$103</f>
        <v>6137.97016614228</v>
      </c>
      <c r="BU90" s="39" t="n">
        <f aca="false">0</f>
        <v>0</v>
      </c>
      <c r="BV90" s="39" t="n">
        <f aca="false">-(W90-W89)*12*Assumptions!$C$108</f>
        <v>-31586.4210258605</v>
      </c>
      <c r="BW90" s="39" t="n">
        <f aca="false">0</f>
        <v>0</v>
      </c>
      <c r="BX90" s="39" t="n">
        <f aca="false">BS90-BT90+BU90+BV90+BW90</f>
        <v>213734.273582432</v>
      </c>
      <c r="BY90" s="29" t="n">
        <f aca="false">BY89+BX90</f>
        <v>1690089.33366749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7" min="3" style="0" width="14"/>
    <col collapsed="false" customWidth="true" hidden="false" outlineLevel="0" max="8" min="8" style="0" width="40"/>
  </cols>
  <sheetData>
    <row r="1" customFormat="false" ht="17.35" hidden="false" customHeight="false" outlineLevel="0" collapsed="false">
      <c r="A1" s="1" t="s">
        <v>374</v>
      </c>
      <c r="B1" s="2"/>
      <c r="C1" s="2"/>
      <c r="D1" s="2"/>
      <c r="E1" s="2"/>
      <c r="F1" s="2"/>
      <c r="G1" s="2"/>
      <c r="H1" s="2"/>
    </row>
    <row r="2" customFormat="false" ht="15" hidden="false" customHeight="false" outlineLevel="0" collapsed="false">
      <c r="A2" s="3" t="s">
        <v>375</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5" t="s">
        <v>58</v>
      </c>
      <c r="B4" s="6"/>
      <c r="C4" s="7" t="s">
        <v>4</v>
      </c>
      <c r="D4" s="7" t="s">
        <v>5</v>
      </c>
      <c r="E4" s="7" t="s">
        <v>6</v>
      </c>
      <c r="F4" s="7" t="s">
        <v>7</v>
      </c>
      <c r="G4" s="7" t="s">
        <v>8</v>
      </c>
      <c r="H4" s="6"/>
    </row>
    <row r="5" customFormat="false" ht="15" hidden="false" customHeight="false" outlineLevel="0" collapsed="false">
      <c r="A5" s="2" t="s">
        <v>253</v>
      </c>
      <c r="B5" s="2"/>
      <c r="C5" s="39" t="n">
        <f aca="false">SUM(Monthly!Q31:Q42)</f>
        <v>8338.2662496</v>
      </c>
      <c r="D5" s="39" t="n">
        <f aca="false">SUM(Monthly!Q43:Q54)</f>
        <v>39190.4103136</v>
      </c>
      <c r="E5" s="39" t="n">
        <f aca="false">SUM(Monthly!Q55:Q66)</f>
        <v>134822.8750176</v>
      </c>
      <c r="F5" s="39" t="n">
        <f aca="false">SUM(Monthly!Q67:Q78)</f>
        <v>511878.3474336</v>
      </c>
      <c r="G5" s="39" t="n">
        <f aca="false">SUM(Monthly!Q79:Q90)</f>
        <v>1800752.1116928</v>
      </c>
      <c r="H5" s="2"/>
    </row>
    <row r="6" customFormat="false" ht="15" hidden="false" customHeight="false" outlineLevel="0" collapsed="false">
      <c r="A6" s="2" t="s">
        <v>255</v>
      </c>
      <c r="B6" s="2"/>
      <c r="C6" s="39" t="n">
        <f aca="false">SUM(Monthly!R31:R42)</f>
        <v>4498.902150912</v>
      </c>
      <c r="D6" s="39" t="n">
        <f aca="false">SUM(Monthly!R43:R54)</f>
        <v>24833.766427392</v>
      </c>
      <c r="E6" s="39" t="n">
        <f aca="false">SUM(Monthly!R55:R66)</f>
        <v>90510.485225472</v>
      </c>
      <c r="F6" s="39" t="n">
        <f aca="false">SUM(Monthly!R67:R78)</f>
        <v>343347.107106432</v>
      </c>
      <c r="G6" s="39" t="n">
        <f aca="false">SUM(Monthly!R79:R90)</f>
        <v>1219888.5755497</v>
      </c>
      <c r="H6" s="2"/>
    </row>
    <row r="7" customFormat="false" ht="15" hidden="false" customHeight="false" outlineLevel="0" collapsed="false">
      <c r="A7" s="2" t="s">
        <v>256</v>
      </c>
      <c r="B7" s="2"/>
      <c r="C7" s="39" t="n">
        <f aca="false">SUM(Monthly!S31:S42)</f>
        <v>0</v>
      </c>
      <c r="D7" s="39" t="n">
        <f aca="false">SUM(Monthly!S43:S54)</f>
        <v>10325.1456</v>
      </c>
      <c r="E7" s="39" t="n">
        <f aca="false">SUM(Monthly!S55:S66)</f>
        <v>41306.1264</v>
      </c>
      <c r="F7" s="39" t="n">
        <f aca="false">SUM(Monthly!S67:S78)</f>
        <v>158581.6848</v>
      </c>
      <c r="G7" s="39" t="n">
        <f aca="false">SUM(Monthly!S79:S90)</f>
        <v>576541.9044</v>
      </c>
      <c r="H7" s="2"/>
    </row>
    <row r="8" customFormat="false" ht="15" hidden="false" customHeight="false" outlineLevel="0" collapsed="false">
      <c r="A8" s="2" t="s">
        <v>257</v>
      </c>
      <c r="B8" s="2"/>
      <c r="C8" s="39" t="n">
        <f aca="false">SUM(Monthly!T31:T42)</f>
        <v>1550.9032119</v>
      </c>
      <c r="D8" s="39" t="n">
        <f aca="false">SUM(Monthly!T43:T54)</f>
        <v>15766.5282579</v>
      </c>
      <c r="E8" s="39" t="n">
        <f aca="false">SUM(Monthly!T55:T66)</f>
        <v>59820.3311139</v>
      </c>
      <c r="F8" s="39" t="n">
        <f aca="false">SUM(Monthly!T67:T78)</f>
        <v>228503.5615359</v>
      </c>
      <c r="G8" s="39" t="n">
        <f aca="false">SUM(Monthly!T79:T90)</f>
        <v>819749.7576702</v>
      </c>
      <c r="H8" s="2"/>
    </row>
    <row r="9" customFormat="false" ht="15" hidden="false" customHeight="false" outlineLevel="0" collapsed="false">
      <c r="A9" s="2" t="s">
        <v>376</v>
      </c>
      <c r="B9" s="2"/>
      <c r="C9" s="39" t="n">
        <f aca="false">SUM(Monthly!U31:U42)</f>
        <v>3577.6314</v>
      </c>
      <c r="D9" s="39" t="n">
        <f aca="false">SUM(Monthly!U43:U54)</f>
        <v>16815.1074</v>
      </c>
      <c r="E9" s="39" t="n">
        <f aca="false">SUM(Monthly!U55:U66)</f>
        <v>57847.3434</v>
      </c>
      <c r="F9" s="39" t="n">
        <f aca="false">SUM(Monthly!U67:U78)</f>
        <v>218111.4054</v>
      </c>
      <c r="G9" s="39" t="n">
        <f aca="false">SUM(Monthly!U79:U90)</f>
        <v>766156.1712</v>
      </c>
      <c r="H9" s="2"/>
    </row>
    <row r="10" customFormat="false" ht="15" hidden="false" customHeight="false" outlineLevel="0" collapsed="false">
      <c r="A10" s="2" t="s">
        <v>260</v>
      </c>
      <c r="B10" s="2"/>
      <c r="C10" s="39" t="n">
        <f aca="false">SUM(Monthly!V31:V42)</f>
        <v>0</v>
      </c>
      <c r="D10" s="39" t="n">
        <f aca="false">SUM(Monthly!V43:V54)</f>
        <v>0</v>
      </c>
      <c r="E10" s="39" t="n">
        <f aca="false">SUM(Monthly!V55:V66)</f>
        <v>21254.12352</v>
      </c>
      <c r="F10" s="39" t="n">
        <f aca="false">SUM(Monthly!V67:V78)</f>
        <v>57523.632768</v>
      </c>
      <c r="G10" s="39" t="n">
        <f aca="false">SUM(Monthly!V79:V90)</f>
        <v>229103.681856</v>
      </c>
      <c r="H10" s="2"/>
    </row>
    <row r="11" customFormat="false" ht="15" hidden="false" customHeight="false" outlineLevel="0" collapsed="false">
      <c r="A11" s="4" t="s">
        <v>289</v>
      </c>
      <c r="B11" s="2"/>
      <c r="C11" s="40" t="n">
        <f aca="false">SUM(C5:C10)</f>
        <v>17965.703012412</v>
      </c>
      <c r="D11" s="40" t="n">
        <f aca="false">SUM(D5:D10)</f>
        <v>106930.957998892</v>
      </c>
      <c r="E11" s="40" t="n">
        <f aca="false">SUM(E5:E10)</f>
        <v>405561.284676972</v>
      </c>
      <c r="F11" s="40" t="n">
        <f aca="false">SUM(F5:F10)</f>
        <v>1517945.73904393</v>
      </c>
      <c r="G11" s="40" t="n">
        <f aca="false">SUM(G5:G10)</f>
        <v>5412192.2023687</v>
      </c>
      <c r="H11" s="2"/>
    </row>
    <row r="12" customFormat="false" ht="15" hidden="false" customHeight="false" outlineLevel="0" collapsed="false">
      <c r="A12" s="2" t="s">
        <v>377</v>
      </c>
      <c r="B12" s="2"/>
      <c r="C12" s="36" t="n">
        <f aca="false">0</f>
        <v>0</v>
      </c>
      <c r="D12" s="36" t="n">
        <f aca="false">IF(C11=0,0,D11/C11-1)</f>
        <v>4.95194955215593</v>
      </c>
      <c r="E12" s="36" t="n">
        <f aca="false">IF(D11=0,0,E11/D11-1)</f>
        <v>2.79273965432138</v>
      </c>
      <c r="F12" s="36" t="n">
        <f aca="false">IF(E11=0,0,F11/E11-1)</f>
        <v>2.74282703106873</v>
      </c>
      <c r="G12" s="36" t="n">
        <f aca="false">IF(F11=0,0,G11/F11-1)</f>
        <v>2.56547145471585</v>
      </c>
      <c r="H12" s="2"/>
    </row>
    <row r="13" customFormat="false" ht="15" hidden="false" customHeight="false" outlineLevel="0" collapsed="false">
      <c r="A13" s="2"/>
      <c r="B13" s="2"/>
      <c r="C13" s="2"/>
      <c r="D13" s="2"/>
      <c r="E13" s="2"/>
      <c r="F13" s="2"/>
      <c r="G13" s="2"/>
      <c r="H13" s="2"/>
    </row>
    <row r="14" customFormat="false" ht="15" hidden="false" customHeight="false" outlineLevel="0" collapsed="false">
      <c r="A14" s="4" t="s">
        <v>378</v>
      </c>
      <c r="B14" s="2"/>
      <c r="C14" s="2"/>
      <c r="D14" s="2"/>
      <c r="E14" s="2"/>
      <c r="F14" s="2"/>
      <c r="G14" s="2"/>
      <c r="H14" s="2"/>
    </row>
    <row r="15" customFormat="false" ht="15" hidden="false" customHeight="false" outlineLevel="0" collapsed="false">
      <c r="A15" s="2" t="s">
        <v>316</v>
      </c>
      <c r="B15" s="2"/>
      <c r="C15" s="36" t="n">
        <f aca="false">IF(C$11=0,0,C5/C$11)</f>
        <v>0.464121345200871</v>
      </c>
      <c r="D15" s="36" t="n">
        <f aca="false">IF(D$11=0,0,D5/D$11)</f>
        <v>0.366502003227223</v>
      </c>
      <c r="E15" s="36" t="n">
        <f aca="false">IF(E$11=0,0,E5/E$11)</f>
        <v>0.332435269616492</v>
      </c>
      <c r="F15" s="36" t="n">
        <f aca="false">IF(F$11=0,0,F5/F$11)</f>
        <v>0.337217816333806</v>
      </c>
      <c r="G15" s="36" t="n">
        <f aca="false">IF(G$11=0,0,G5/G$11)</f>
        <v>0.332721389847294</v>
      </c>
      <c r="H15" s="2"/>
    </row>
    <row r="16" customFormat="false" ht="15" hidden="false" customHeight="false" outlineLevel="0" collapsed="false">
      <c r="A16" s="2" t="s">
        <v>255</v>
      </c>
      <c r="B16" s="2"/>
      <c r="C16" s="36" t="n">
        <f aca="false">IF(C$11=0,0,C6/C$11)</f>
        <v>0.250416148358004</v>
      </c>
      <c r="D16" s="36" t="n">
        <f aca="false">IF(D$11=0,0,D6/D$11)</f>
        <v>0.232241129155967</v>
      </c>
      <c r="E16" s="36" t="n">
        <f aca="false">IF(E$11=0,0,E6/E$11)</f>
        <v>0.223173386230797</v>
      </c>
      <c r="F16" s="36" t="n">
        <f aca="false">IF(F$11=0,0,F6/F$11)</f>
        <v>0.226191950262127</v>
      </c>
      <c r="G16" s="36" t="n">
        <f aca="false">IF(G$11=0,0,G6/G$11)</f>
        <v>0.225396388364737</v>
      </c>
      <c r="H16" s="2"/>
    </row>
    <row r="17" customFormat="false" ht="15" hidden="false" customHeight="false" outlineLevel="0" collapsed="false">
      <c r="A17" s="2" t="s">
        <v>256</v>
      </c>
      <c r="B17" s="2"/>
      <c r="C17" s="36" t="n">
        <f aca="false">IF(C$11=0,0,C7/C$11)</f>
        <v>0</v>
      </c>
      <c r="D17" s="36" t="n">
        <f aca="false">IF(D$11=0,0,D7/D$11)</f>
        <v>0.0965589927671553</v>
      </c>
      <c r="E17" s="36" t="n">
        <f aca="false">IF(E$11=0,0,E7/E$11)</f>
        <v>0.101849283845967</v>
      </c>
      <c r="F17" s="36" t="n">
        <f aca="false">IF(F$11=0,0,F7/F$11)</f>
        <v>0.104471247371386</v>
      </c>
      <c r="G17" s="36" t="n">
        <f aca="false">IF(G$11=0,0,G7/G$11)</f>
        <v>0.106526502171832</v>
      </c>
      <c r="H17" s="2"/>
    </row>
    <row r="18" customFormat="false" ht="15" hidden="false" customHeight="false" outlineLevel="0" collapsed="false">
      <c r="A18" s="2" t="s">
        <v>319</v>
      </c>
      <c r="B18" s="2"/>
      <c r="C18" s="36" t="n">
        <f aca="false">IF(C$11=0,0,C8/C$11)</f>
        <v>0.0863257736604309</v>
      </c>
      <c r="D18" s="36" t="n">
        <f aca="false">IF(D$11=0,0,D8/D$11)</f>
        <v>0.147445871176646</v>
      </c>
      <c r="E18" s="36" t="n">
        <f aca="false">IF(E$11=0,0,E8/E$11)</f>
        <v>0.147500102633186</v>
      </c>
      <c r="F18" s="36" t="n">
        <f aca="false">IF(F$11=0,0,F8/F$11)</f>
        <v>0.150534736294211</v>
      </c>
      <c r="G18" s="36" t="n">
        <f aca="false">IF(G$11=0,0,G8/G$11)</f>
        <v>0.151463534002253</v>
      </c>
      <c r="H18" s="2"/>
    </row>
    <row r="19" customFormat="false" ht="15" hidden="false" customHeight="false" outlineLevel="0" collapsed="false">
      <c r="A19" s="2" t="s">
        <v>320</v>
      </c>
      <c r="B19" s="2"/>
      <c r="C19" s="36" t="n">
        <f aca="false">IF(C$11=0,0,C9/C$11)</f>
        <v>0.199136732780694</v>
      </c>
      <c r="D19" s="36" t="n">
        <f aca="false">IF(D$11=0,0,D9/D$11)</f>
        <v>0.157252003673008</v>
      </c>
      <c r="E19" s="36" t="n">
        <f aca="false">IF(E$11=0,0,E9/E$11)</f>
        <v>0.142635270144376</v>
      </c>
      <c r="F19" s="36" t="n">
        <f aca="false">IF(F$11=0,0,F9/F$11)</f>
        <v>0.143688538917983</v>
      </c>
      <c r="G19" s="36" t="n">
        <f aca="false">IF(G$11=0,0,G9/G$11)</f>
        <v>0.141561153512746</v>
      </c>
      <c r="H19" s="2"/>
    </row>
    <row r="20" customFormat="false" ht="15" hidden="false" customHeight="false" outlineLevel="0" collapsed="false">
      <c r="A20" s="2" t="s">
        <v>321</v>
      </c>
      <c r="B20" s="2"/>
      <c r="C20" s="36" t="n">
        <f aca="false">IF(C$11=0,0,C10/C$11)</f>
        <v>0</v>
      </c>
      <c r="D20" s="36" t="n">
        <f aca="false">IF(D$11=0,0,D10/D$11)</f>
        <v>0</v>
      </c>
      <c r="E20" s="36" t="n">
        <f aca="false">IF(E$11=0,0,E10/E$11)</f>
        <v>0.0524066875291827</v>
      </c>
      <c r="F20" s="36" t="n">
        <f aca="false">IF(F$11=0,0,F10/F$11)</f>
        <v>0.0378957108204875</v>
      </c>
      <c r="G20" s="36" t="n">
        <f aca="false">IF(G$11=0,0,G10/G$11)</f>
        <v>0.0423310321011384</v>
      </c>
      <c r="H2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7" min="3" style="0" width="14"/>
    <col collapsed="false" customWidth="true" hidden="false" outlineLevel="0" max="8" min="8" style="0" width="50"/>
  </cols>
  <sheetData>
    <row r="1" customFormat="false" ht="17.35" hidden="false" customHeight="false" outlineLevel="0" collapsed="false">
      <c r="A1" s="1" t="s">
        <v>379</v>
      </c>
      <c r="B1" s="2"/>
      <c r="C1" s="2"/>
      <c r="D1" s="2"/>
      <c r="E1" s="2"/>
      <c r="F1" s="2"/>
      <c r="G1" s="2"/>
      <c r="H1" s="2"/>
    </row>
    <row r="2" customFormat="false" ht="15" hidden="false" customHeight="false" outlineLevel="0" collapsed="false">
      <c r="A2" s="3" t="s">
        <v>380</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5" t="s">
        <v>58</v>
      </c>
      <c r="B4" s="6"/>
      <c r="C4" s="7" t="s">
        <v>4</v>
      </c>
      <c r="D4" s="7" t="s">
        <v>5</v>
      </c>
      <c r="E4" s="7" t="s">
        <v>6</v>
      </c>
      <c r="F4" s="7" t="s">
        <v>7</v>
      </c>
      <c r="G4" s="7" t="s">
        <v>8</v>
      </c>
      <c r="H4" s="6"/>
    </row>
    <row r="5" customFormat="false" ht="15" hidden="false" customHeight="false" outlineLevel="0" collapsed="false">
      <c r="A5" s="4" t="s">
        <v>381</v>
      </c>
      <c r="B5" s="2"/>
      <c r="C5" s="2"/>
      <c r="D5" s="2"/>
      <c r="E5" s="2"/>
      <c r="F5" s="2"/>
      <c r="G5" s="2"/>
      <c r="H5" s="2"/>
    </row>
    <row r="6" customFormat="false" ht="15" hidden="false" customHeight="false" outlineLevel="0" collapsed="false">
      <c r="A6" s="2" t="s">
        <v>189</v>
      </c>
      <c r="B6" s="2"/>
      <c r="C6" s="38" t="n">
        <f aca="false">Monthly!AL42</f>
        <v>0</v>
      </c>
      <c r="D6" s="38" t="n">
        <f aca="false">Monthly!AL54</f>
        <v>0</v>
      </c>
      <c r="E6" s="38" t="n">
        <f aca="false">Monthly!AL66</f>
        <v>0</v>
      </c>
      <c r="F6" s="38" t="n">
        <f aca="false">Monthly!AL78</f>
        <v>1</v>
      </c>
      <c r="G6" s="38" t="n">
        <f aca="false">Monthly!AL90</f>
        <v>2</v>
      </c>
      <c r="H6" s="2"/>
    </row>
    <row r="7" customFormat="false" ht="15" hidden="false" customHeight="false" outlineLevel="0" collapsed="false">
      <c r="A7" s="2" t="s">
        <v>192</v>
      </c>
      <c r="B7" s="2"/>
      <c r="C7" s="38" t="n">
        <f aca="false">Monthly!AM42</f>
        <v>0</v>
      </c>
      <c r="D7" s="38" t="n">
        <f aca="false">Monthly!AM54</f>
        <v>1</v>
      </c>
      <c r="E7" s="38" t="n">
        <f aca="false">Monthly!AM66</f>
        <v>2</v>
      </c>
      <c r="F7" s="38" t="n">
        <f aca="false">Monthly!AM78</f>
        <v>4</v>
      </c>
      <c r="G7" s="38" t="n">
        <f aca="false">Monthly!AM90</f>
        <v>6</v>
      </c>
      <c r="H7" s="2"/>
    </row>
    <row r="8" customFormat="false" ht="15" hidden="false" customHeight="false" outlineLevel="0" collapsed="false">
      <c r="A8" s="2" t="s">
        <v>187</v>
      </c>
      <c r="B8" s="2"/>
      <c r="C8" s="38" t="n">
        <f aca="false">Monthly!AN42</f>
        <v>0</v>
      </c>
      <c r="D8" s="38" t="n">
        <f aca="false">Monthly!AN54</f>
        <v>0</v>
      </c>
      <c r="E8" s="38" t="n">
        <f aca="false">Monthly!AN66</f>
        <v>1</v>
      </c>
      <c r="F8" s="38" t="n">
        <f aca="false">Monthly!AN78</f>
        <v>1</v>
      </c>
      <c r="G8" s="38" t="n">
        <f aca="false">Monthly!AN90</f>
        <v>2</v>
      </c>
      <c r="H8" s="2"/>
    </row>
    <row r="9" customFormat="false" ht="15" hidden="false" customHeight="false" outlineLevel="0" collapsed="false">
      <c r="A9" s="2" t="s">
        <v>382</v>
      </c>
      <c r="B9" s="2"/>
      <c r="C9" s="38" t="n">
        <f aca="false">Monthly!AH42</f>
        <v>0.028</v>
      </c>
      <c r="D9" s="38" t="n">
        <f aca="false">Monthly!AH54</f>
        <v>0.07016</v>
      </c>
      <c r="E9" s="38" t="n">
        <f aca="false">Monthly!AH66</f>
        <v>0.27931</v>
      </c>
      <c r="F9" s="38" t="n">
        <f aca="false">Monthly!AH78</f>
        <v>1.13584</v>
      </c>
      <c r="G9" s="38" t="n">
        <f aca="false">Monthly!AH90</f>
        <v>2.81199</v>
      </c>
      <c r="H9" s="2"/>
    </row>
    <row r="10" customFormat="false" ht="15" hidden="false" customHeight="false" outlineLevel="0" collapsed="false">
      <c r="A10" s="2" t="s">
        <v>185</v>
      </c>
      <c r="B10" s="2"/>
      <c r="C10" s="38" t="n">
        <f aca="false">Monthly!AI42</f>
        <v>0.028</v>
      </c>
      <c r="D10" s="38" t="n">
        <f aca="false">Monthly!AI54</f>
        <v>0.07016</v>
      </c>
      <c r="E10" s="38" t="n">
        <f aca="false">Monthly!AI66</f>
        <v>0.27931</v>
      </c>
      <c r="F10" s="38" t="n">
        <f aca="false">Monthly!AI78</f>
        <v>1.13584</v>
      </c>
      <c r="G10" s="38" t="n">
        <f aca="false">Monthly!AI90</f>
        <v>2.81199</v>
      </c>
      <c r="H10" s="2"/>
    </row>
    <row r="11" customFormat="false" ht="15" hidden="false" customHeight="false" outlineLevel="0" collapsed="false">
      <c r="A11" s="2" t="s">
        <v>186</v>
      </c>
      <c r="B11" s="2"/>
      <c r="C11" s="38" t="n">
        <f aca="false">Monthly!AJ42</f>
        <v>0.233333333333333</v>
      </c>
      <c r="D11" s="38" t="n">
        <f aca="false">Monthly!AJ54</f>
        <v>0.584666666666667</v>
      </c>
      <c r="E11" s="38" t="n">
        <f aca="false">Monthly!AJ66</f>
        <v>2.32758333333333</v>
      </c>
      <c r="F11" s="38" t="n">
        <f aca="false">Monthly!AJ78</f>
        <v>9.46533333333333</v>
      </c>
      <c r="G11" s="38" t="n">
        <f aca="false">Monthly!AJ90</f>
        <v>23.43325</v>
      </c>
      <c r="H11" s="2"/>
    </row>
    <row r="12" customFormat="false" ht="15" hidden="false" customHeight="false" outlineLevel="0" collapsed="false">
      <c r="A12" s="2" t="s">
        <v>383</v>
      </c>
      <c r="B12" s="2"/>
      <c r="C12" s="38" t="n">
        <f aca="false">Monthly!AK42</f>
        <v>0.21</v>
      </c>
      <c r="D12" s="38" t="n">
        <f aca="false">Monthly!AK54</f>
        <v>0.24</v>
      </c>
      <c r="E12" s="38" t="n">
        <f aca="false">Monthly!AK66</f>
        <v>0.39</v>
      </c>
      <c r="F12" s="38" t="n">
        <f aca="false">Monthly!AK78</f>
        <v>6.9</v>
      </c>
      <c r="G12" s="38" t="n">
        <f aca="false">Monthly!AK90</f>
        <v>7.5</v>
      </c>
      <c r="H12" s="2"/>
    </row>
    <row r="13" customFormat="false" ht="15" hidden="false" customHeight="false" outlineLevel="0" collapsed="false">
      <c r="A13" s="4" t="s">
        <v>384</v>
      </c>
      <c r="B13" s="2"/>
      <c r="C13" s="46" t="n">
        <f aca="false">Monthly!AO42</f>
        <v>0.499333333333333</v>
      </c>
      <c r="D13" s="46" t="n">
        <f aca="false">Monthly!AO54</f>
        <v>1.96498666666667</v>
      </c>
      <c r="E13" s="46" t="n">
        <f aca="false">Monthly!AO66</f>
        <v>6.27620333333333</v>
      </c>
      <c r="F13" s="46" t="n">
        <f aca="false">Monthly!AO78</f>
        <v>24.6370133333333</v>
      </c>
      <c r="G13" s="46" t="n">
        <f aca="false">Monthly!AO90</f>
        <v>46.55723</v>
      </c>
      <c r="H13" s="2"/>
    </row>
    <row r="14" customFormat="false" ht="15" hidden="false" customHeight="false" outlineLevel="0" collapsed="false">
      <c r="A14" s="4" t="s">
        <v>385</v>
      </c>
      <c r="B14" s="2"/>
      <c r="C14" s="46" t="n">
        <f aca="false">Monthly!BD42</f>
        <v>0</v>
      </c>
      <c r="D14" s="46" t="n">
        <f aca="false">Monthly!BD54</f>
        <v>0.259607789188255</v>
      </c>
      <c r="E14" s="46" t="n">
        <f aca="false">Monthly!BD66</f>
        <v>2.03650712868549</v>
      </c>
      <c r="F14" s="46" t="n">
        <f aca="false">Monthly!BD78</f>
        <v>11.0652139507756</v>
      </c>
      <c r="G14" s="46" t="n">
        <f aca="false">Monthly!BD90</f>
        <v>36.0582716436513</v>
      </c>
      <c r="H14" s="2"/>
    </row>
    <row r="15" customFormat="false" ht="15" hidden="false" customHeight="false" outlineLevel="0" collapsed="false">
      <c r="A15" s="4" t="s">
        <v>386</v>
      </c>
      <c r="B15" s="2"/>
      <c r="C15" s="46" t="n">
        <f aca="false">Monthly!BE42</f>
        <v>0</v>
      </c>
      <c r="D15" s="46" t="n">
        <f aca="false">Monthly!BE54</f>
        <v>0</v>
      </c>
      <c r="E15" s="46" t="n">
        <f aca="false">Monthly!BE66</f>
        <v>0</v>
      </c>
      <c r="F15" s="46" t="n">
        <f aca="false">Monthly!BE78</f>
        <v>5.57179938255775</v>
      </c>
      <c r="G15" s="46" t="n">
        <f aca="false">Monthly!BE90</f>
        <v>0</v>
      </c>
      <c r="H15" s="2"/>
    </row>
    <row r="16" customFormat="false" ht="15" hidden="false" customHeight="false" outlineLevel="0" collapsed="false">
      <c r="A16" s="2" t="s">
        <v>387</v>
      </c>
      <c r="B16" s="2"/>
      <c r="C16" s="11" t="n">
        <f aca="false">Assumptions!$C$79</f>
        <v>2</v>
      </c>
      <c r="D16" s="11" t="n">
        <f aca="false">Assumptions!$C$79</f>
        <v>2</v>
      </c>
      <c r="E16" s="11" t="n">
        <f aca="false">Assumptions!$C$79</f>
        <v>2</v>
      </c>
      <c r="F16" s="11" t="n">
        <f aca="false">Assumptions!$C$79</f>
        <v>2</v>
      </c>
      <c r="G16" s="11" t="n">
        <f aca="false">Assumptions!$C$79</f>
        <v>2</v>
      </c>
      <c r="H16" s="2"/>
    </row>
    <row r="17" customFormat="false" ht="15" hidden="false" customHeight="false" outlineLevel="0" collapsed="false">
      <c r="A17" s="2"/>
      <c r="B17" s="2"/>
      <c r="C17" s="2"/>
      <c r="D17" s="2"/>
      <c r="E17" s="2"/>
      <c r="F17" s="2"/>
      <c r="G17" s="2"/>
      <c r="H17" s="2"/>
    </row>
    <row r="18" customFormat="false" ht="15" hidden="false" customHeight="false" outlineLevel="0" collapsed="false">
      <c r="A18" s="4" t="s">
        <v>388</v>
      </c>
      <c r="B18" s="2"/>
      <c r="C18" s="2"/>
      <c r="D18" s="2"/>
      <c r="E18" s="2"/>
      <c r="F18" s="2"/>
      <c r="G18" s="2"/>
      <c r="H18" s="2"/>
    </row>
    <row r="19" customFormat="false" ht="15" hidden="false" customHeight="false" outlineLevel="0" collapsed="false">
      <c r="A19" s="2" t="s">
        <v>189</v>
      </c>
      <c r="B19" s="2"/>
      <c r="C19" s="39" t="n">
        <f aca="false">SUM(Monthly!BJ31:BJ42)</f>
        <v>0</v>
      </c>
      <c r="D19" s="39" t="n">
        <f aca="false">SUM(Monthly!BJ43:BJ54)</f>
        <v>0</v>
      </c>
      <c r="E19" s="39" t="n">
        <f aca="false">SUM(Monthly!BJ55:BJ66)</f>
        <v>0</v>
      </c>
      <c r="F19" s="39" t="n">
        <f aca="false">SUM(Monthly!BJ67:BJ78)</f>
        <v>24510.729766266</v>
      </c>
      <c r="G19" s="39" t="n">
        <f aca="false">SUM(Monthly!BJ79:BJ90)</f>
        <v>57257.349147371</v>
      </c>
      <c r="H19" s="2"/>
    </row>
    <row r="20" customFormat="false" ht="15" hidden="false" customHeight="false" outlineLevel="0" collapsed="false">
      <c r="A20" s="2" t="s">
        <v>192</v>
      </c>
      <c r="B20" s="2"/>
      <c r="C20" s="39" t="n">
        <f aca="false">SUM(Monthly!BK31:BK42)</f>
        <v>0</v>
      </c>
      <c r="D20" s="39" t="n">
        <f aca="false">SUM(Monthly!BK43:BK54)</f>
        <v>37806.6765347292</v>
      </c>
      <c r="E20" s="39" t="n">
        <f aca="false">SUM(Monthly!BK55:BK66)</f>
        <v>71903.2535109756</v>
      </c>
      <c r="F20" s="39" t="n">
        <f aca="false">SUM(Monthly!BK67:BK78)</f>
        <v>104170.60150663</v>
      </c>
      <c r="G20" s="39" t="n">
        <f aca="false">SUM(Monthly!BK79:BK90)</f>
        <v>182507.800407245</v>
      </c>
      <c r="H20" s="2"/>
    </row>
    <row r="21" customFormat="false" ht="15" hidden="false" customHeight="false" outlineLevel="0" collapsed="false">
      <c r="A21" s="2" t="s">
        <v>187</v>
      </c>
      <c r="B21" s="2"/>
      <c r="C21" s="39" t="n">
        <f aca="false">SUM(Monthly!BL31:BL42)</f>
        <v>0</v>
      </c>
      <c r="D21" s="39" t="n">
        <f aca="false">SUM(Monthly!BL43:BL54)</f>
        <v>0</v>
      </c>
      <c r="E21" s="39" t="n">
        <f aca="false">SUM(Monthly!BL55:BL66)</f>
        <v>23262.8173123745</v>
      </c>
      <c r="F21" s="39" t="n">
        <f aca="false">SUM(Monthly!BL67:BL78)</f>
        <v>16851.1267143079</v>
      </c>
      <c r="G21" s="39" t="n">
        <f aca="false">SUM(Monthly!BL79:BL90)</f>
        <v>39364.4275388176</v>
      </c>
      <c r="H21" s="2"/>
    </row>
    <row r="22" customFormat="false" ht="15" hidden="false" customHeight="false" outlineLevel="0" collapsed="false">
      <c r="A22" s="2" t="s">
        <v>382</v>
      </c>
      <c r="B22" s="2"/>
      <c r="C22" s="39" t="n">
        <f aca="false">SUM(Monthly!BF31:BF42)</f>
        <v>0</v>
      </c>
      <c r="D22" s="39" t="n">
        <f aca="false">SUM(Monthly!BF43:BF54)</f>
        <v>0</v>
      </c>
      <c r="E22" s="39" t="n">
        <f aca="false">SUM(Monthly!BF55:BF66)</f>
        <v>4150.93904063158</v>
      </c>
      <c r="F22" s="39" t="n">
        <f aca="false">SUM(Monthly!BF67:BF78)</f>
        <v>32977.3509508458</v>
      </c>
      <c r="G22" s="39" t="n">
        <f aca="false">SUM(Monthly!BF79:BF90)</f>
        <v>152178.511969698</v>
      </c>
      <c r="H22" s="2"/>
    </row>
    <row r="23" customFormat="false" ht="15" hidden="false" customHeight="false" outlineLevel="0" collapsed="false">
      <c r="A23" s="2" t="s">
        <v>185</v>
      </c>
      <c r="B23" s="2"/>
      <c r="C23" s="39" t="n">
        <f aca="false">SUM(Monthly!BG31:BG42)</f>
        <v>0</v>
      </c>
      <c r="D23" s="39" t="n">
        <f aca="false">SUM(Monthly!BG43:BG54)</f>
        <v>0</v>
      </c>
      <c r="E23" s="39" t="n">
        <f aca="false">SUM(Monthly!BG55:BG66)</f>
        <v>3854.44339487218</v>
      </c>
      <c r="F23" s="39" t="n">
        <f aca="false">SUM(Monthly!BG67:BG78)</f>
        <v>30621.8258829282</v>
      </c>
      <c r="G23" s="39" t="n">
        <f aca="false">SUM(Monthly!BG79:BG90)</f>
        <v>141308.618257577</v>
      </c>
      <c r="H23" s="2"/>
    </row>
    <row r="24" customFormat="false" ht="15" hidden="false" customHeight="false" outlineLevel="0" collapsed="false">
      <c r="A24" s="2" t="s">
        <v>186</v>
      </c>
      <c r="B24" s="2"/>
      <c r="C24" s="39" t="n">
        <f aca="false">SUM(Monthly!BH31:BH42)</f>
        <v>0</v>
      </c>
      <c r="D24" s="39" t="n">
        <f aca="false">SUM(Monthly!BH43:BH54)</f>
        <v>0</v>
      </c>
      <c r="E24" s="39" t="n">
        <f aca="false">SUM(Monthly!BH55:BH66)</f>
        <v>27178.7675279449</v>
      </c>
      <c r="F24" s="39" t="n">
        <f aca="false">SUM(Monthly!BH67:BH78)</f>
        <v>215923.131225776</v>
      </c>
      <c r="G24" s="39" t="n">
        <f aca="false">SUM(Monthly!BH79:BH90)</f>
        <v>996406.92361112</v>
      </c>
      <c r="H24" s="2"/>
    </row>
    <row r="25" customFormat="false" ht="15" hidden="false" customHeight="false" outlineLevel="0" collapsed="false">
      <c r="A25" s="2" t="s">
        <v>383</v>
      </c>
      <c r="B25" s="2"/>
      <c r="C25" s="39" t="n">
        <f aca="false">SUM(Monthly!BI31:BI42)</f>
        <v>0</v>
      </c>
      <c r="D25" s="39" t="n">
        <f aca="false">SUM(Monthly!BI43:BI54)</f>
        <v>0</v>
      </c>
      <c r="E25" s="39" t="n">
        <f aca="false">SUM(Monthly!BI55:BI66)</f>
        <v>12977.2615082653</v>
      </c>
      <c r="F25" s="39" t="n">
        <f aca="false">SUM(Monthly!BI67:BI78)</f>
        <v>119958.757601655</v>
      </c>
      <c r="G25" s="39" t="n">
        <f aca="false">SUM(Monthly!BI79:BI90)</f>
        <v>376874.045953665</v>
      </c>
      <c r="H25" s="2"/>
    </row>
    <row r="26" customFormat="false" ht="15" hidden="false" customHeight="false" outlineLevel="0" collapsed="false">
      <c r="A26" s="4" t="s">
        <v>389</v>
      </c>
      <c r="B26" s="2"/>
      <c r="C26" s="40" t="n">
        <f aca="false">SUM(C19:C25)</f>
        <v>0</v>
      </c>
      <c r="D26" s="40" t="n">
        <f aca="false">SUM(D19:D25)</f>
        <v>37806.6765347292</v>
      </c>
      <c r="E26" s="40" t="n">
        <f aca="false">SUM(E19:E25)</f>
        <v>143327.482295064</v>
      </c>
      <c r="F26" s="40" t="n">
        <f aca="false">SUM(F19:F25)</f>
        <v>545013.523648409</v>
      </c>
      <c r="G26" s="40" t="n">
        <f aca="false">SUM(G19:G25)</f>
        <v>1945897.67688549</v>
      </c>
      <c r="H26" s="2"/>
    </row>
    <row r="27" customFormat="false" ht="15" hidden="false" customHeight="false" outlineLevel="0" collapsed="false">
      <c r="A27" s="2"/>
      <c r="B27" s="2"/>
      <c r="C27" s="2"/>
      <c r="D27" s="2"/>
      <c r="E27" s="2"/>
      <c r="F27" s="2"/>
      <c r="G27" s="2"/>
      <c r="H27" s="2"/>
    </row>
    <row r="28" customFormat="false" ht="15" hidden="false" customHeight="false" outlineLevel="0" collapsed="false">
      <c r="A28" s="18" t="s">
        <v>390</v>
      </c>
      <c r="B28" s="2"/>
      <c r="C28" s="2"/>
      <c r="D28" s="2"/>
      <c r="E28" s="2"/>
      <c r="F28" s="2"/>
      <c r="G28" s="2"/>
      <c r="H2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7" min="3" style="0" width="14"/>
    <col collapsed="false" customWidth="true" hidden="false" outlineLevel="0" max="8" min="8" style="0" width="40"/>
  </cols>
  <sheetData>
    <row r="1" customFormat="false" ht="17.35" hidden="false" customHeight="false" outlineLevel="0" collapsed="false">
      <c r="A1" s="1" t="s">
        <v>391</v>
      </c>
      <c r="B1" s="2"/>
      <c r="C1" s="2"/>
      <c r="D1" s="2"/>
      <c r="E1" s="2"/>
      <c r="F1" s="2"/>
      <c r="G1" s="2"/>
      <c r="H1" s="2"/>
    </row>
    <row r="2" customFormat="false" ht="15" hidden="false" customHeight="false" outlineLevel="0" collapsed="false">
      <c r="A2" s="3" t="s">
        <v>392</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5" t="s">
        <v>58</v>
      </c>
      <c r="B4" s="6"/>
      <c r="C4" s="7" t="s">
        <v>4</v>
      </c>
      <c r="D4" s="7" t="s">
        <v>5</v>
      </c>
      <c r="E4" s="7" t="s">
        <v>6</v>
      </c>
      <c r="F4" s="7" t="s">
        <v>7</v>
      </c>
      <c r="G4" s="7" t="s">
        <v>8</v>
      </c>
      <c r="H4" s="6"/>
    </row>
    <row r="5" customFormat="false" ht="15" hidden="false" customHeight="false" outlineLevel="0" collapsed="false">
      <c r="A5" s="16" t="s">
        <v>328</v>
      </c>
      <c r="B5" s="17"/>
      <c r="C5" s="17"/>
      <c r="D5" s="17"/>
      <c r="E5" s="17"/>
      <c r="F5" s="17"/>
      <c r="G5" s="17"/>
      <c r="H5" s="17"/>
    </row>
    <row r="6" customFormat="false" ht="15" hidden="false" customHeight="false" outlineLevel="0" collapsed="false">
      <c r="A6" s="12" t="s">
        <v>265</v>
      </c>
      <c r="B6" s="2"/>
      <c r="C6" s="39" t="n">
        <f aca="false">SUM(Monthly!X31:X42)</f>
        <v>6108.64</v>
      </c>
      <c r="D6" s="39" t="n">
        <f aca="false">SUM(Monthly!X43:X54)</f>
        <v>15406.4991333333</v>
      </c>
      <c r="E6" s="39" t="n">
        <f aca="false">SUM(Monthly!X55:X66)</f>
        <v>61928.24695</v>
      </c>
      <c r="F6" s="39" t="n">
        <f aca="false">SUM(Monthly!X67:X78)</f>
        <v>220430.592558333</v>
      </c>
      <c r="G6" s="39" t="n">
        <f aca="false">SUM(Monthly!X79:X90)</f>
        <v>663643.604075</v>
      </c>
      <c r="H6" s="2"/>
    </row>
    <row r="7" customFormat="false" ht="15" hidden="false" customHeight="false" outlineLevel="0" collapsed="false">
      <c r="A7" s="12" t="s">
        <v>267</v>
      </c>
      <c r="B7" s="2"/>
      <c r="C7" s="39" t="n">
        <f aca="false">SUM(Monthly!Y31:Y42)</f>
        <v>4800</v>
      </c>
      <c r="D7" s="39" t="n">
        <f aca="false">SUM(Monthly!Y43:Y54)</f>
        <v>12106</v>
      </c>
      <c r="E7" s="39" t="n">
        <f aca="false">SUM(Monthly!Y55:Y66)</f>
        <v>48661.5</v>
      </c>
      <c r="F7" s="39" t="n">
        <f aca="false">SUM(Monthly!Y67:Y78)</f>
        <v>173208.25</v>
      </c>
      <c r="G7" s="39" t="n">
        <f aca="false">SUM(Monthly!Y79:Y90)</f>
        <v>521472.75</v>
      </c>
      <c r="H7" s="2"/>
    </row>
    <row r="8" customFormat="false" ht="15" hidden="false" customHeight="false" outlineLevel="0" collapsed="false">
      <c r="A8" s="12" t="s">
        <v>268</v>
      </c>
      <c r="B8" s="2"/>
      <c r="C8" s="39" t="n">
        <f aca="false">SUM(Monthly!Z31:Z42)</f>
        <v>51.69677373</v>
      </c>
      <c r="D8" s="39" t="n">
        <f aca="false">SUM(Monthly!Z43:Z54)</f>
        <v>224.14012593</v>
      </c>
      <c r="E8" s="39" t="n">
        <f aca="false">SUM(Monthly!Z55:Z66)</f>
        <v>751.30641313</v>
      </c>
      <c r="F8" s="39" t="n">
        <f aca="false">SUM(Monthly!Z67:Z78)</f>
        <v>2866.31609453</v>
      </c>
      <c r="G8" s="39" t="n">
        <f aca="false">SUM(Monthly!Z79:Z90)</f>
        <v>10021.67816034</v>
      </c>
      <c r="H8" s="2"/>
    </row>
    <row r="9" customFormat="false" ht="15" hidden="false" customHeight="false" outlineLevel="0" collapsed="false">
      <c r="A9" s="12" t="s">
        <v>269</v>
      </c>
      <c r="B9" s="2"/>
      <c r="C9" s="39" t="n">
        <f aca="false">SUM(Monthly!AA31:AA42)</f>
        <v>621.542707237248</v>
      </c>
      <c r="D9" s="39" t="n">
        <f aca="false">SUM(Monthly!AA43:AA54)</f>
        <v>3056.63654200717</v>
      </c>
      <c r="E9" s="39" t="n">
        <f aca="false">SUM(Monthly!AA55:AA66)</f>
        <v>10701.7425527835</v>
      </c>
      <c r="F9" s="39" t="n">
        <f aca="false">SUM(Monthly!AA67:AA78)</f>
        <v>40620.3160187873</v>
      </c>
      <c r="G9" s="39" t="n">
        <f aca="false">SUM(Monthly!AA79:AA90)</f>
        <v>143340.373115492</v>
      </c>
      <c r="H9" s="2"/>
    </row>
    <row r="10" customFormat="false" ht="15" hidden="false" customHeight="false" outlineLevel="0" collapsed="false">
      <c r="A10" s="12" t="s">
        <v>393</v>
      </c>
      <c r="B10" s="2"/>
      <c r="C10" s="39" t="n">
        <f aca="false">SUM(Monthly!AB31:AB42)+SUM(Monthly!AC31:AC42)</f>
        <v>420</v>
      </c>
      <c r="D10" s="39" t="n">
        <f aca="false">SUM(Monthly!AB43:AB54)+SUM(Monthly!AC43:AC54)</f>
        <v>955.4</v>
      </c>
      <c r="E10" s="39" t="n">
        <f aca="false">SUM(Monthly!AB55:AB66)+SUM(Monthly!AC55:AC66)</f>
        <v>3950.76666666667</v>
      </c>
      <c r="F10" s="39" t="n">
        <f aca="false">SUM(Monthly!AB67:AB78)+SUM(Monthly!AC67:AC78)</f>
        <v>16117.2166666667</v>
      </c>
      <c r="G10" s="39" t="n">
        <f aca="false">SUM(Monthly!AB79:AB90)+SUM(Monthly!AC79:AC90)</f>
        <v>36843.1833333333</v>
      </c>
      <c r="H10" s="2"/>
    </row>
    <row r="11" customFormat="false" ht="15" hidden="false" customHeight="false" outlineLevel="0" collapsed="false">
      <c r="A11" s="4" t="s">
        <v>394</v>
      </c>
      <c r="B11" s="2"/>
      <c r="C11" s="40" t="n">
        <f aca="false">SUM(C6:C10)</f>
        <v>12001.8794809672</v>
      </c>
      <c r="D11" s="40" t="n">
        <f aca="false">SUM(D6:D10)</f>
        <v>31748.6758012705</v>
      </c>
      <c r="E11" s="40" t="n">
        <f aca="false">SUM(E6:E10)</f>
        <v>125993.56258258</v>
      </c>
      <c r="F11" s="40" t="n">
        <f aca="false">SUM(F6:F10)</f>
        <v>453242.691338317</v>
      </c>
      <c r="G11" s="40" t="n">
        <f aca="false">SUM(G6:G10)</f>
        <v>1375321.58868417</v>
      </c>
      <c r="H11" s="2"/>
    </row>
    <row r="12" customFormat="false" ht="15" hidden="false" customHeight="false" outlineLevel="0" collapsed="false">
      <c r="A12" s="2"/>
      <c r="B12" s="2"/>
      <c r="C12" s="2"/>
      <c r="D12" s="2"/>
      <c r="E12" s="2"/>
      <c r="F12" s="2"/>
      <c r="G12" s="2"/>
      <c r="H12" s="2"/>
    </row>
    <row r="13" customFormat="false" ht="15" hidden="false" customHeight="false" outlineLevel="0" collapsed="false">
      <c r="A13" s="16" t="s">
        <v>367</v>
      </c>
      <c r="B13" s="17"/>
      <c r="C13" s="17"/>
      <c r="D13" s="17"/>
      <c r="E13" s="17"/>
      <c r="F13" s="17"/>
      <c r="G13" s="17"/>
      <c r="H13" s="17"/>
    </row>
    <row r="14" customFormat="false" ht="15" hidden="false" customHeight="false" outlineLevel="0" collapsed="false">
      <c r="A14" s="12" t="s">
        <v>395</v>
      </c>
      <c r="B14" s="2"/>
      <c r="C14" s="9" t="n">
        <f aca="false">Headcount!C22</f>
        <v>0</v>
      </c>
      <c r="D14" s="9" t="n">
        <f aca="false">Headcount!D22</f>
        <v>0</v>
      </c>
      <c r="E14" s="9" t="n">
        <f aca="false">Headcount!E22</f>
        <v>4150.93904063158</v>
      </c>
      <c r="F14" s="9" t="n">
        <f aca="false">Headcount!F22</f>
        <v>32977.3509508458</v>
      </c>
      <c r="G14" s="9" t="n">
        <f aca="false">Headcount!G22</f>
        <v>152178.511969698</v>
      </c>
      <c r="H14" s="2"/>
    </row>
    <row r="15" customFormat="false" ht="15" hidden="false" customHeight="false" outlineLevel="0" collapsed="false">
      <c r="A15" s="12" t="s">
        <v>396</v>
      </c>
      <c r="B15" s="2"/>
      <c r="C15" s="9" t="n">
        <f aca="false">Headcount!C23</f>
        <v>0</v>
      </c>
      <c r="D15" s="9" t="n">
        <f aca="false">Headcount!D23</f>
        <v>0</v>
      </c>
      <c r="E15" s="9" t="n">
        <f aca="false">Headcount!E23</f>
        <v>3854.44339487218</v>
      </c>
      <c r="F15" s="9" t="n">
        <f aca="false">Headcount!F23</f>
        <v>30621.8258829282</v>
      </c>
      <c r="G15" s="9" t="n">
        <f aca="false">Headcount!G23</f>
        <v>141308.618257577</v>
      </c>
      <c r="H15" s="2"/>
    </row>
    <row r="16" customFormat="false" ht="15" hidden="false" customHeight="false" outlineLevel="0" collapsed="false">
      <c r="A16" s="12" t="s">
        <v>397</v>
      </c>
      <c r="B16" s="2"/>
      <c r="C16" s="39" t="n">
        <f aca="false">(Revenue!C7+Revenue!C8+Revenue!C9)*Assumptions!$C$75</f>
        <v>0</v>
      </c>
      <c r="D16" s="39" t="n">
        <f aca="false">(Revenue!D7+Revenue!D8+Revenue!D9)*Assumptions!$C$75</f>
        <v>0</v>
      </c>
      <c r="E16" s="39" t="n">
        <f aca="false">(Revenue!E7+Revenue!E8+Revenue!E9)*Assumptions!$C$75</f>
        <v>0</v>
      </c>
      <c r="F16" s="39" t="n">
        <f aca="false">(Revenue!F7+Revenue!F8+Revenue!F9)*Assumptions!$C$75</f>
        <v>0</v>
      </c>
      <c r="G16" s="39" t="n">
        <f aca="false">(Revenue!G7+Revenue!G8+Revenue!G9)*Assumptions!$C$75</f>
        <v>0</v>
      </c>
      <c r="H16" s="2"/>
    </row>
    <row r="17" customFormat="false" ht="15" hidden="false" customHeight="false" outlineLevel="0" collapsed="false">
      <c r="A17" s="12" t="s">
        <v>398</v>
      </c>
      <c r="B17" s="2"/>
      <c r="C17" s="9" t="n">
        <f aca="false">Headcount!C24</f>
        <v>0</v>
      </c>
      <c r="D17" s="9" t="n">
        <f aca="false">Headcount!D24</f>
        <v>0</v>
      </c>
      <c r="E17" s="9" t="n">
        <f aca="false">Headcount!E24</f>
        <v>27178.7675279449</v>
      </c>
      <c r="F17" s="9" t="n">
        <f aca="false">Headcount!F24</f>
        <v>215923.131225776</v>
      </c>
      <c r="G17" s="9" t="n">
        <f aca="false">Headcount!G24</f>
        <v>996406.92361112</v>
      </c>
      <c r="H17" s="2"/>
    </row>
    <row r="18" customFormat="false" ht="15" hidden="false" customHeight="false" outlineLevel="0" collapsed="false">
      <c r="A18" s="12" t="s">
        <v>399</v>
      </c>
      <c r="B18" s="2"/>
      <c r="C18" s="9" t="n">
        <f aca="false">Headcount!C25</f>
        <v>0</v>
      </c>
      <c r="D18" s="9" t="n">
        <f aca="false">Headcount!D25</f>
        <v>0</v>
      </c>
      <c r="E18" s="9" t="n">
        <f aca="false">Headcount!E25</f>
        <v>12977.2615082653</v>
      </c>
      <c r="F18" s="9" t="n">
        <f aca="false">Headcount!F25</f>
        <v>119958.757601655</v>
      </c>
      <c r="G18" s="9" t="n">
        <f aca="false">Headcount!G25</f>
        <v>376874.045953665</v>
      </c>
      <c r="H18" s="2"/>
    </row>
    <row r="19" customFormat="false" ht="15" hidden="false" customHeight="false" outlineLevel="0" collapsed="false">
      <c r="A19" s="12" t="s">
        <v>400</v>
      </c>
      <c r="B19" s="2"/>
      <c r="C19" s="39" t="n">
        <f aca="false">SUM(Monthly!BM31:BM42)</f>
        <v>700</v>
      </c>
      <c r="D19" s="39" t="n">
        <f aca="false">SUM(Monthly!BM43:BM54)</f>
        <v>1075</v>
      </c>
      <c r="E19" s="39" t="n">
        <f aca="false">SUM(Monthly!BM55:BM66)</f>
        <v>5275</v>
      </c>
      <c r="F19" s="39" t="n">
        <f aca="false">SUM(Monthly!BM67:BM78)</f>
        <v>21600</v>
      </c>
      <c r="G19" s="39" t="n">
        <f aca="false">SUM(Monthly!BM79:BM90)</f>
        <v>42675</v>
      </c>
      <c r="H19" s="2"/>
    </row>
    <row r="20" customFormat="false" ht="15" hidden="false" customHeight="false" outlineLevel="0" collapsed="false">
      <c r="A20" s="12" t="s">
        <v>278</v>
      </c>
      <c r="B20" s="2"/>
      <c r="C20" s="39" t="n">
        <f aca="false">SUM(Monthly!BN31:BN42)</f>
        <v>0</v>
      </c>
      <c r="D20" s="39" t="n">
        <f aca="false">SUM(Monthly!BN43:BN54)</f>
        <v>0</v>
      </c>
      <c r="E20" s="39" t="n">
        <f aca="false">SUM(Monthly!BN55:BN66)</f>
        <v>0</v>
      </c>
      <c r="F20" s="39" t="n">
        <f aca="false">SUM(Monthly!BN67:BN78)</f>
        <v>0</v>
      </c>
      <c r="G20" s="39" t="n">
        <f aca="false">SUM(Monthly!BN79:BN90)</f>
        <v>0</v>
      </c>
      <c r="H20" s="2"/>
    </row>
    <row r="21" customFormat="false" ht="15" hidden="false" customHeight="false" outlineLevel="0" collapsed="false">
      <c r="A21" s="12" t="s">
        <v>364</v>
      </c>
      <c r="B21" s="2"/>
      <c r="C21" s="39" t="n">
        <f aca="false">SUM(Monthly!BO31:BO42)</f>
        <v>359.31406024824</v>
      </c>
      <c r="D21" s="39" t="n">
        <f aca="false">SUM(Monthly!BO43:BO54)</f>
        <v>2138.61915997784</v>
      </c>
      <c r="E21" s="39" t="n">
        <f aca="false">SUM(Monthly!BO55:BO66)</f>
        <v>8111.22569353944</v>
      </c>
      <c r="F21" s="39" t="n">
        <f aca="false">SUM(Monthly!BO67:BO78)</f>
        <v>30358.9147808786</v>
      </c>
      <c r="G21" s="39" t="n">
        <f aca="false">SUM(Monthly!BO79:BO90)</f>
        <v>108243.844047374</v>
      </c>
      <c r="H21" s="2"/>
    </row>
    <row r="22" customFormat="false" ht="15" hidden="false" customHeight="false" outlineLevel="0" collapsed="false">
      <c r="A22" s="12" t="s">
        <v>401</v>
      </c>
      <c r="B22" s="2"/>
      <c r="C22" s="9" t="n">
        <f aca="false">Headcount!C20</f>
        <v>0</v>
      </c>
      <c r="D22" s="9" t="n">
        <f aca="false">Headcount!D20</f>
        <v>37806.6765347292</v>
      </c>
      <c r="E22" s="9" t="n">
        <f aca="false">Headcount!E20</f>
        <v>71903.2535109756</v>
      </c>
      <c r="F22" s="9" t="n">
        <f aca="false">Headcount!F20</f>
        <v>104170.60150663</v>
      </c>
      <c r="G22" s="9" t="n">
        <f aca="false">Headcount!G20</f>
        <v>182507.800407245</v>
      </c>
      <c r="H22" s="2"/>
    </row>
    <row r="23" customFormat="false" ht="15" hidden="false" customHeight="false" outlineLevel="0" collapsed="false">
      <c r="A23" s="12" t="s">
        <v>402</v>
      </c>
      <c r="B23" s="2"/>
      <c r="C23" s="9" t="n">
        <f aca="false">Headcount!C19</f>
        <v>0</v>
      </c>
      <c r="D23" s="9" t="n">
        <f aca="false">Headcount!D19</f>
        <v>0</v>
      </c>
      <c r="E23" s="9" t="n">
        <f aca="false">Headcount!E19</f>
        <v>0</v>
      </c>
      <c r="F23" s="9" t="n">
        <f aca="false">Headcount!F19</f>
        <v>24510.729766266</v>
      </c>
      <c r="G23" s="9" t="n">
        <f aca="false">Headcount!G19</f>
        <v>57257.349147371</v>
      </c>
      <c r="H23" s="2"/>
    </row>
    <row r="24" customFormat="false" ht="15" hidden="false" customHeight="false" outlineLevel="0" collapsed="false">
      <c r="A24" s="12" t="s">
        <v>403</v>
      </c>
      <c r="B24" s="2"/>
      <c r="C24" s="9" t="n">
        <f aca="false">Headcount!C21</f>
        <v>0</v>
      </c>
      <c r="D24" s="9" t="n">
        <f aca="false">Headcount!D21</f>
        <v>0</v>
      </c>
      <c r="E24" s="9" t="n">
        <f aca="false">Headcount!E21</f>
        <v>23262.8173123745</v>
      </c>
      <c r="F24" s="9" t="n">
        <f aca="false">Headcount!F21</f>
        <v>16851.1267143079</v>
      </c>
      <c r="G24" s="9" t="n">
        <f aca="false">Headcount!G21</f>
        <v>39364.4275388176</v>
      </c>
      <c r="H24" s="2"/>
    </row>
    <row r="25" customFormat="false" ht="15" hidden="false" customHeight="false" outlineLevel="0" collapsed="false">
      <c r="A25" s="12" t="s">
        <v>404</v>
      </c>
      <c r="B25" s="2"/>
      <c r="C25" s="39" t="n">
        <f aca="false">SUM(Monthly!BP31:BP42)</f>
        <v>3100</v>
      </c>
      <c r="D25" s="39" t="n">
        <f aca="false">SUM(Monthly!BP43:BP54)</f>
        <v>7035.33333333333</v>
      </c>
      <c r="E25" s="39" t="n">
        <f aca="false">SUM(Monthly!BP55:BP66)</f>
        <v>22220.5</v>
      </c>
      <c r="F25" s="39" t="n">
        <f aca="false">SUM(Monthly!BP67:BP78)</f>
        <v>69736.0833333333</v>
      </c>
      <c r="G25" s="39" t="n">
        <f aca="false">SUM(Monthly!BP79:BP90)</f>
        <v>193824.25</v>
      </c>
      <c r="H25" s="2"/>
    </row>
    <row r="26" customFormat="false" ht="15" hidden="false" customHeight="false" outlineLevel="0" collapsed="false">
      <c r="A26" s="12" t="s">
        <v>366</v>
      </c>
      <c r="B26" s="2"/>
      <c r="C26" s="39" t="n">
        <f aca="false">SUM(Monthly!BQ31:BQ42)</f>
        <v>1200</v>
      </c>
      <c r="D26" s="39" t="n">
        <f aca="false">SUM(Monthly!BQ43:BQ54)</f>
        <v>1718.19545221788</v>
      </c>
      <c r="E26" s="39" t="n">
        <f aca="false">SUM(Monthly!BQ55:BQ66)</f>
        <v>4440.84288474277</v>
      </c>
      <c r="F26" s="39" t="n">
        <f aca="false">SUM(Monthly!BQ67:BQ78)</f>
        <v>17674.601346022</v>
      </c>
      <c r="G26" s="39" t="n">
        <f aca="false">SUM(Monthly!BQ79:BQ90)</f>
        <v>64398.4123335676</v>
      </c>
      <c r="H26" s="2"/>
    </row>
    <row r="27" customFormat="false" ht="15" hidden="false" customHeight="false" outlineLevel="0" collapsed="false">
      <c r="A27" s="4" t="s">
        <v>405</v>
      </c>
      <c r="B27" s="2"/>
      <c r="C27" s="40" t="n">
        <f aca="false">SUM(C14:C26)</f>
        <v>5359.31406024824</v>
      </c>
      <c r="D27" s="40" t="n">
        <f aca="false">SUM(D14:D26)</f>
        <v>49773.8244802582</v>
      </c>
      <c r="E27" s="40" t="n">
        <f aca="false">SUM(E14:E26)</f>
        <v>183375.050873346</v>
      </c>
      <c r="F27" s="40" t="n">
        <f aca="false">SUM(F14:F26)</f>
        <v>684383.123108643</v>
      </c>
      <c r="G27" s="40" t="n">
        <f aca="false">SUM(G14:G26)</f>
        <v>2355039.18326644</v>
      </c>
      <c r="H2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7" min="3" style="0" width="14"/>
    <col collapsed="false" customWidth="true" hidden="false" outlineLevel="0" max="8" min="8" style="0" width="40"/>
  </cols>
  <sheetData>
    <row r="1" customFormat="false" ht="17.35" hidden="false" customHeight="false" outlineLevel="0" collapsed="false">
      <c r="A1" s="1" t="s">
        <v>406</v>
      </c>
      <c r="B1" s="2"/>
      <c r="C1" s="2"/>
      <c r="D1" s="2"/>
      <c r="E1" s="2"/>
      <c r="F1" s="2"/>
      <c r="G1" s="2"/>
      <c r="H1" s="2"/>
    </row>
    <row r="2" customFormat="false" ht="15" hidden="false" customHeight="false" outlineLevel="0" collapsed="false">
      <c r="A2" s="3" t="s">
        <v>407</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5" t="s">
        <v>58</v>
      </c>
      <c r="B4" s="6"/>
      <c r="C4" s="7" t="s">
        <v>4</v>
      </c>
      <c r="D4" s="7" t="s">
        <v>5</v>
      </c>
      <c r="E4" s="7" t="s">
        <v>6</v>
      </c>
      <c r="F4" s="7" t="s">
        <v>7</v>
      </c>
      <c r="G4" s="7" t="s">
        <v>8</v>
      </c>
      <c r="H4" s="6"/>
    </row>
    <row r="5" customFormat="false" ht="15" hidden="false" customHeight="false" outlineLevel="0" collapsed="false">
      <c r="A5" s="4" t="s">
        <v>322</v>
      </c>
      <c r="B5" s="2"/>
      <c r="C5" s="29" t="n">
        <f aca="false">Revenue!C11</f>
        <v>17965.703012412</v>
      </c>
      <c r="D5" s="29" t="n">
        <f aca="false">Revenue!D11</f>
        <v>106930.957998892</v>
      </c>
      <c r="E5" s="29" t="n">
        <f aca="false">Revenue!E11</f>
        <v>405561.284676972</v>
      </c>
      <c r="F5" s="29" t="n">
        <f aca="false">Revenue!F11</f>
        <v>1517945.73904393</v>
      </c>
      <c r="G5" s="29" t="n">
        <f aca="false">Revenue!G11</f>
        <v>5412192.2023687</v>
      </c>
      <c r="H5" s="2"/>
    </row>
    <row r="6" customFormat="false" ht="15" hidden="false" customHeight="false" outlineLevel="0" collapsed="false">
      <c r="A6" s="12" t="s">
        <v>328</v>
      </c>
      <c r="B6" s="2"/>
      <c r="C6" s="9" t="n">
        <f aca="false">Costs!C11</f>
        <v>12001.8794809672</v>
      </c>
      <c r="D6" s="9" t="n">
        <f aca="false">Costs!D11</f>
        <v>31748.6758012705</v>
      </c>
      <c r="E6" s="9" t="n">
        <f aca="false">Costs!E11</f>
        <v>125993.56258258</v>
      </c>
      <c r="F6" s="9" t="n">
        <f aca="false">Costs!F11</f>
        <v>453242.691338317</v>
      </c>
      <c r="G6" s="9" t="n">
        <f aca="false">Costs!G11</f>
        <v>1375321.58868417</v>
      </c>
      <c r="H6" s="2"/>
    </row>
    <row r="7" customFormat="false" ht="15" hidden="false" customHeight="false" outlineLevel="0" collapsed="false">
      <c r="A7" s="4" t="s">
        <v>408</v>
      </c>
      <c r="B7" s="2"/>
      <c r="C7" s="40" t="n">
        <f aca="false">C5-C6</f>
        <v>5963.82353144475</v>
      </c>
      <c r="D7" s="40" t="n">
        <f aca="false">D5-D6</f>
        <v>75182.2821976215</v>
      </c>
      <c r="E7" s="40" t="n">
        <f aca="false">E5-E6</f>
        <v>279567.722094392</v>
      </c>
      <c r="F7" s="40" t="n">
        <f aca="false">F5-F6</f>
        <v>1064703.04770561</v>
      </c>
      <c r="G7" s="40" t="n">
        <f aca="false">G5-G6</f>
        <v>4036870.61368453</v>
      </c>
      <c r="H7" s="2"/>
    </row>
    <row r="8" customFormat="false" ht="15" hidden="false" customHeight="false" outlineLevel="0" collapsed="false">
      <c r="A8" s="12" t="s">
        <v>12</v>
      </c>
      <c r="B8" s="2"/>
      <c r="C8" s="36" t="n">
        <f aca="false">IF(C5=0,0,C7/C5)</f>
        <v>0.331956034635801</v>
      </c>
      <c r="D8" s="36" t="n">
        <f aca="false">IF(D5=0,0,D7/D5)</f>
        <v>0.703091823028468</v>
      </c>
      <c r="E8" s="36" t="n">
        <f aca="false">IF(E5=0,0,E7/E5)</f>
        <v>0.689335330212958</v>
      </c>
      <c r="F8" s="36" t="n">
        <f aca="false">IF(F5=0,0,F7/F5)</f>
        <v>0.701410478859548</v>
      </c>
      <c r="G8" s="36" t="n">
        <f aca="false">IF(G5=0,0,G7/G5)</f>
        <v>0.745884562620994</v>
      </c>
      <c r="H8" s="2"/>
    </row>
    <row r="9" customFormat="false" ht="15" hidden="false" customHeight="false" outlineLevel="0" collapsed="false">
      <c r="A9" s="2"/>
      <c r="B9" s="2"/>
      <c r="C9" s="2"/>
      <c r="D9" s="2"/>
      <c r="E9" s="2"/>
      <c r="F9" s="2"/>
      <c r="G9" s="2"/>
      <c r="H9" s="2"/>
    </row>
    <row r="10" customFormat="false" ht="15" hidden="false" customHeight="false" outlineLevel="0" collapsed="false">
      <c r="A10" s="12" t="s">
        <v>409</v>
      </c>
      <c r="B10" s="2"/>
      <c r="C10" s="9" t="n">
        <f aca="false">Costs!C14</f>
        <v>0</v>
      </c>
      <c r="D10" s="9" t="n">
        <f aca="false">Costs!D14</f>
        <v>0</v>
      </c>
      <c r="E10" s="9" t="n">
        <f aca="false">Costs!E14</f>
        <v>4150.93904063158</v>
      </c>
      <c r="F10" s="9" t="n">
        <f aca="false">Costs!F14</f>
        <v>32977.3509508458</v>
      </c>
      <c r="G10" s="9" t="n">
        <f aca="false">Costs!G14</f>
        <v>152178.511969698</v>
      </c>
      <c r="H10" s="2"/>
    </row>
    <row r="11" customFormat="false" ht="15" hidden="false" customHeight="false" outlineLevel="0" collapsed="false">
      <c r="A11" s="12" t="s">
        <v>410</v>
      </c>
      <c r="B11" s="2"/>
      <c r="C11" s="9" t="n">
        <f aca="false">Costs!C15+Costs!C16+Costs!C17+Costs!C18+Costs!C19+Costs!C20+Costs!C21</f>
        <v>1059.31406024824</v>
      </c>
      <c r="D11" s="9" t="n">
        <f aca="false">Costs!D15+Costs!D16+Costs!D17+Costs!D18+Costs!D19+Costs!D20+Costs!D21</f>
        <v>3213.61915997784</v>
      </c>
      <c r="E11" s="9" t="n">
        <f aca="false">Costs!E15+Costs!E16+Costs!E17+Costs!E18+Costs!E19+Costs!E20+Costs!E21</f>
        <v>57396.6981246218</v>
      </c>
      <c r="F11" s="9" t="n">
        <f aca="false">Costs!F15+Costs!F16+Costs!F17+Costs!F18+Costs!F19+Costs!F20+Costs!F21</f>
        <v>418462.629491237</v>
      </c>
      <c r="G11" s="9" t="n">
        <f aca="false">Costs!G15+Costs!G16+Costs!G17+Costs!G18+Costs!G19+Costs!G20+Costs!G21</f>
        <v>1665508.43186974</v>
      </c>
      <c r="H11" s="2"/>
    </row>
    <row r="12" customFormat="false" ht="15" hidden="false" customHeight="false" outlineLevel="0" collapsed="false">
      <c r="A12" s="12" t="s">
        <v>192</v>
      </c>
      <c r="B12" s="2"/>
      <c r="C12" s="9" t="n">
        <f aca="false">Costs!C22</f>
        <v>0</v>
      </c>
      <c r="D12" s="9" t="n">
        <f aca="false">Costs!D22</f>
        <v>37806.6765347292</v>
      </c>
      <c r="E12" s="9" t="n">
        <f aca="false">Costs!E22</f>
        <v>71903.2535109756</v>
      </c>
      <c r="F12" s="9" t="n">
        <f aca="false">Costs!F22</f>
        <v>104170.60150663</v>
      </c>
      <c r="G12" s="9" t="n">
        <f aca="false">Costs!G22</f>
        <v>182507.800407245</v>
      </c>
      <c r="H12" s="2"/>
    </row>
    <row r="13" customFormat="false" ht="15" hidden="false" customHeight="false" outlineLevel="0" collapsed="false">
      <c r="A13" s="12" t="s">
        <v>411</v>
      </c>
      <c r="B13" s="2"/>
      <c r="C13" s="9" t="n">
        <f aca="false">Costs!C23+Costs!C24+Costs!C25+Costs!C26</f>
        <v>4300</v>
      </c>
      <c r="D13" s="9" t="n">
        <f aca="false">Costs!D23+Costs!D24+Costs!D25+Costs!D26</f>
        <v>8753.52878555121</v>
      </c>
      <c r="E13" s="9" t="n">
        <f aca="false">Costs!E23+Costs!E24+Costs!E25+Costs!E26</f>
        <v>49924.1601971172</v>
      </c>
      <c r="F13" s="9" t="n">
        <f aca="false">Costs!F23+Costs!F24+Costs!F25+Costs!F26</f>
        <v>128772.541159929</v>
      </c>
      <c r="G13" s="9" t="n">
        <f aca="false">Costs!G23+Costs!G24+Costs!G25+Costs!G26</f>
        <v>354844.439019756</v>
      </c>
      <c r="H13" s="2"/>
    </row>
    <row r="14" customFormat="false" ht="15" hidden="false" customHeight="false" outlineLevel="0" collapsed="false">
      <c r="A14" s="12" t="s">
        <v>405</v>
      </c>
      <c r="B14" s="2"/>
      <c r="C14" s="47" t="n">
        <f aca="false">SUM(C10:C13)</f>
        <v>5359.31406024824</v>
      </c>
      <c r="D14" s="47" t="n">
        <f aca="false">SUM(D10:D13)</f>
        <v>49773.8244802582</v>
      </c>
      <c r="E14" s="47" t="n">
        <f aca="false">SUM(E10:E13)</f>
        <v>183375.050873346</v>
      </c>
      <c r="F14" s="47" t="n">
        <f aca="false">SUM(F10:F13)</f>
        <v>684383.123108643</v>
      </c>
      <c r="G14" s="47" t="n">
        <f aca="false">SUM(G10:G13)</f>
        <v>2355039.18326644</v>
      </c>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4" t="s">
        <v>368</v>
      </c>
      <c r="B16" s="2"/>
      <c r="C16" s="29" t="n">
        <f aca="false">C7-C14</f>
        <v>604.50947119651</v>
      </c>
      <c r="D16" s="29" t="n">
        <f aca="false">D7-D14</f>
        <v>25408.4577173633</v>
      </c>
      <c r="E16" s="29" t="n">
        <f aca="false">E7-E14</f>
        <v>96192.6712210458</v>
      </c>
      <c r="F16" s="29" t="n">
        <f aca="false">F7-F14</f>
        <v>380319.924596972</v>
      </c>
      <c r="G16" s="29" t="n">
        <f aca="false">G7-G14</f>
        <v>1681831.4304181</v>
      </c>
      <c r="H16" s="2"/>
    </row>
    <row r="17" customFormat="false" ht="15" hidden="false" customHeight="false" outlineLevel="0" collapsed="false">
      <c r="A17" s="12" t="s">
        <v>14</v>
      </c>
      <c r="B17" s="2"/>
      <c r="C17" s="36" t="n">
        <f aca="false">IF(C5=0,0,C16/C5)</f>
        <v>0.0336479719596206</v>
      </c>
      <c r="D17" s="36" t="n">
        <f aca="false">IF(D5=0,0,D16/D5)</f>
        <v>0.237615543644775</v>
      </c>
      <c r="E17" s="36" t="n">
        <f aca="false">IF(E5=0,0,E16/E5)</f>
        <v>0.237184057885759</v>
      </c>
      <c r="F17" s="36" t="n">
        <f aca="false">IF(F5=0,0,F16/F5)</f>
        <v>0.250549090665463</v>
      </c>
      <c r="G17" s="36" t="n">
        <f aca="false">IF(G5=0,0,G16/G5)</f>
        <v>0.310748651846109</v>
      </c>
      <c r="H17" s="2"/>
    </row>
    <row r="18" customFormat="false" ht="15" hidden="false" customHeight="false" outlineLevel="0" collapsed="false">
      <c r="A18" s="12" t="s">
        <v>412</v>
      </c>
      <c r="B18" s="2"/>
      <c r="C18" s="39" t="n">
        <f aca="false">SUM(Monthly!BT31:BT42)</f>
        <v>0</v>
      </c>
      <c r="D18" s="39" t="n">
        <f aca="false">SUM(Monthly!BT43:BT54)</f>
        <v>649.019472970636</v>
      </c>
      <c r="E18" s="39" t="n">
        <f aca="false">SUM(Monthly!BT55:BT66)</f>
        <v>4442.24834874309</v>
      </c>
      <c r="F18" s="39" t="n">
        <f aca="false">SUM(Monthly!BT67:BT78)</f>
        <v>26603.3604438394</v>
      </c>
      <c r="G18" s="39" t="n">
        <f aca="false">SUM(Monthly!BT79:BT90)</f>
        <v>69984.0681017552</v>
      </c>
      <c r="H18" s="2"/>
    </row>
    <row r="19" customFormat="false" ht="15" hidden="false" customHeight="false" outlineLevel="0" collapsed="false">
      <c r="A19" s="12" t="s">
        <v>413</v>
      </c>
      <c r="B19" s="2"/>
      <c r="C19" s="39" t="n">
        <f aca="false">(C18)/Assumptions!$C$104</f>
        <v>0</v>
      </c>
      <c r="D19" s="39" t="n">
        <f aca="false">(C18+D18)/Assumptions!$C$104</f>
        <v>216.339824323545</v>
      </c>
      <c r="E19" s="39" t="n">
        <f aca="false">(C18+D18+E18)/Assumptions!$C$104</f>
        <v>1697.08927390457</v>
      </c>
      <c r="F19" s="39" t="n">
        <f aca="false">(D18+E18+F18)/Assumptions!$C$104</f>
        <v>10564.8760885177</v>
      </c>
      <c r="G19" s="39" t="n">
        <f aca="false">(E18+F18+G18)/Assumptions!$C$104</f>
        <v>33676.5589647792</v>
      </c>
      <c r="H19" s="2"/>
    </row>
    <row r="20" customFormat="false" ht="15" hidden="false" customHeight="false" outlineLevel="0" collapsed="false">
      <c r="A20" s="4" t="s">
        <v>414</v>
      </c>
      <c r="B20" s="2"/>
      <c r="C20" s="29" t="n">
        <f aca="false">C16-C19</f>
        <v>604.50947119651</v>
      </c>
      <c r="D20" s="29" t="n">
        <f aca="false">D16-D19</f>
        <v>25192.1178930397</v>
      </c>
      <c r="E20" s="29" t="n">
        <f aca="false">E16-E19</f>
        <v>94495.5819471412</v>
      </c>
      <c r="F20" s="29" t="n">
        <f aca="false">F16-F19</f>
        <v>369755.048508454</v>
      </c>
      <c r="G20" s="29" t="n">
        <f aca="false">G16-G19</f>
        <v>1648154.87145332</v>
      </c>
      <c r="H20" s="2"/>
    </row>
    <row r="21" customFormat="false" ht="15" hidden="false" customHeight="false" outlineLevel="0" collapsed="false">
      <c r="A21" s="12" t="s">
        <v>415</v>
      </c>
      <c r="B21" s="2"/>
      <c r="C21" s="39" t="n">
        <f aca="false">0</f>
        <v>0</v>
      </c>
      <c r="D21" s="39" t="n">
        <f aca="false">C23</f>
        <v>0</v>
      </c>
      <c r="E21" s="39" t="n">
        <f aca="false">D23</f>
        <v>0</v>
      </c>
      <c r="F21" s="39" t="n">
        <f aca="false">E23</f>
        <v>0</v>
      </c>
      <c r="G21" s="39" t="n">
        <f aca="false">F23</f>
        <v>0</v>
      </c>
      <c r="H21" s="2"/>
    </row>
    <row r="22" customFormat="false" ht="15" hidden="false" customHeight="false" outlineLevel="0" collapsed="false">
      <c r="A22" s="12" t="s">
        <v>416</v>
      </c>
      <c r="B22" s="2"/>
      <c r="C22" s="39" t="n">
        <f aca="false">MAX(0,C20-C21)</f>
        <v>604.50947119651</v>
      </c>
      <c r="D22" s="39" t="n">
        <f aca="false">MAX(0,D20-D21)</f>
        <v>25192.1178930397</v>
      </c>
      <c r="E22" s="39" t="n">
        <f aca="false">MAX(0,E20-E21)</f>
        <v>94495.5819471412</v>
      </c>
      <c r="F22" s="39" t="n">
        <f aca="false">MAX(0,F20-F21)</f>
        <v>369755.048508454</v>
      </c>
      <c r="G22" s="39" t="n">
        <f aca="false">MAX(0,G20-G21)</f>
        <v>1648154.87145332</v>
      </c>
      <c r="H22" s="2"/>
    </row>
    <row r="23" customFormat="false" ht="15" hidden="false" customHeight="false" outlineLevel="0" collapsed="false">
      <c r="A23" s="12" t="s">
        <v>417</v>
      </c>
      <c r="B23" s="2"/>
      <c r="C23" s="39" t="n">
        <f aca="false">MAX(0,C21-MAX(0,C20))+MAX(0,-C20)</f>
        <v>0</v>
      </c>
      <c r="D23" s="39" t="n">
        <f aca="false">MAX(0,D21-MAX(0,D20))+MAX(0,-D20)</f>
        <v>0</v>
      </c>
      <c r="E23" s="39" t="n">
        <f aca="false">MAX(0,E21-MAX(0,E20))+MAX(0,-E20)</f>
        <v>0</v>
      </c>
      <c r="F23" s="39" t="n">
        <f aca="false">MAX(0,F21-MAX(0,F20))+MAX(0,-F20)</f>
        <v>0</v>
      </c>
      <c r="G23" s="39" t="n">
        <f aca="false">MAX(0,G21-MAX(0,G20))+MAX(0,-G20)</f>
        <v>0</v>
      </c>
      <c r="H23" s="2"/>
    </row>
    <row r="24" customFormat="false" ht="15" hidden="false" customHeight="false" outlineLevel="0" collapsed="false">
      <c r="A24" s="12" t="s">
        <v>418</v>
      </c>
      <c r="B24" s="2"/>
      <c r="C24" s="39" t="n">
        <f aca="false">C22*Assumptions!$C$107</f>
        <v>151.127367799128</v>
      </c>
      <c r="D24" s="39" t="n">
        <f aca="false">D22*Assumptions!$C$107</f>
        <v>6298.02947325994</v>
      </c>
      <c r="E24" s="39" t="n">
        <f aca="false">E22*Assumptions!$C$107</f>
        <v>23623.8954867853</v>
      </c>
      <c r="F24" s="39" t="n">
        <f aca="false">F22*Assumptions!$C$107</f>
        <v>92438.7621271135</v>
      </c>
      <c r="G24" s="39" t="n">
        <f aca="false">G22*Assumptions!$C$107</f>
        <v>412038.717863329</v>
      </c>
      <c r="H24" s="2"/>
    </row>
    <row r="25" customFormat="false" ht="15" hidden="false" customHeight="false" outlineLevel="0" collapsed="false">
      <c r="A25" s="4" t="s">
        <v>419</v>
      </c>
      <c r="B25" s="2"/>
      <c r="C25" s="40" t="n">
        <f aca="false">C20-C24</f>
        <v>453.382103397383</v>
      </c>
      <c r="D25" s="40" t="n">
        <f aca="false">D20-D24</f>
        <v>18894.0884197798</v>
      </c>
      <c r="E25" s="40" t="n">
        <f aca="false">E20-E24</f>
        <v>70871.6864603559</v>
      </c>
      <c r="F25" s="40" t="n">
        <f aca="false">F20-F24</f>
        <v>277316.286381341</v>
      </c>
      <c r="G25" s="40" t="n">
        <f aca="false">G20-G24</f>
        <v>1236116.15358999</v>
      </c>
      <c r="H25" s="2"/>
    </row>
    <row r="26" customFormat="false" ht="15" hidden="false" customHeight="false" outlineLevel="0" collapsed="false">
      <c r="A26" s="2"/>
      <c r="B26" s="2"/>
      <c r="C26" s="2"/>
      <c r="D26" s="2"/>
      <c r="E26" s="2"/>
      <c r="F26" s="2"/>
      <c r="G26" s="2"/>
      <c r="H26" s="2"/>
    </row>
    <row r="27" customFormat="false" ht="15" hidden="false" customHeight="false" outlineLevel="0" collapsed="false">
      <c r="A27" s="18" t="s">
        <v>420</v>
      </c>
      <c r="B27" s="2"/>
      <c r="C27" s="2"/>
      <c r="D27" s="2"/>
      <c r="E27" s="2"/>
      <c r="F27" s="2"/>
      <c r="G27" s="2"/>
      <c r="H2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7" min="3" style="0" width="14"/>
    <col collapsed="false" customWidth="true" hidden="false" outlineLevel="0" max="8" min="8" style="0" width="50"/>
  </cols>
  <sheetData>
    <row r="1" customFormat="false" ht="17.35" hidden="false" customHeight="false" outlineLevel="0" collapsed="false">
      <c r="A1" s="1" t="s">
        <v>421</v>
      </c>
      <c r="B1" s="2"/>
      <c r="C1" s="2"/>
      <c r="D1" s="2"/>
      <c r="E1" s="2"/>
      <c r="F1" s="2"/>
      <c r="G1" s="2"/>
      <c r="H1" s="2"/>
    </row>
    <row r="2" customFormat="false" ht="15" hidden="false" customHeight="false" outlineLevel="0" collapsed="false">
      <c r="A2" s="3" t="s">
        <v>422</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5" t="s">
        <v>58</v>
      </c>
      <c r="B4" s="6"/>
      <c r="C4" s="7" t="s">
        <v>4</v>
      </c>
      <c r="D4" s="7" t="s">
        <v>5</v>
      </c>
      <c r="E4" s="7" t="s">
        <v>6</v>
      </c>
      <c r="F4" s="7" t="s">
        <v>7</v>
      </c>
      <c r="G4" s="7" t="s">
        <v>8</v>
      </c>
      <c r="H4" s="6"/>
    </row>
    <row r="5" customFormat="false" ht="15" hidden="false" customHeight="false" outlineLevel="0" collapsed="false">
      <c r="A5" s="2" t="s">
        <v>368</v>
      </c>
      <c r="B5" s="2"/>
      <c r="C5" s="9" t="n">
        <f aca="false">'P&amp;L'!C16</f>
        <v>604.50947119651</v>
      </c>
      <c r="D5" s="9" t="n">
        <f aca="false">'P&amp;L'!D16</f>
        <v>25408.4577173633</v>
      </c>
      <c r="E5" s="9" t="n">
        <f aca="false">'P&amp;L'!E16</f>
        <v>96192.6712210458</v>
      </c>
      <c r="F5" s="9" t="n">
        <f aca="false">'P&amp;L'!F16</f>
        <v>380319.924596972</v>
      </c>
      <c r="G5" s="9" t="n">
        <f aca="false">'P&amp;L'!G16</f>
        <v>1681831.4304181</v>
      </c>
      <c r="H5" s="2"/>
    </row>
    <row r="6" customFormat="false" ht="15" hidden="false" customHeight="false" outlineLevel="0" collapsed="false">
      <c r="A6" s="2" t="s">
        <v>370</v>
      </c>
      <c r="B6" s="2"/>
      <c r="C6" s="39" t="n">
        <f aca="false">SUM(Monthly!BU31:BU42)</f>
        <v>0</v>
      </c>
      <c r="D6" s="39" t="n">
        <f aca="false">SUM(Monthly!BU43:BU54)</f>
        <v>-151.127367799128</v>
      </c>
      <c r="E6" s="39" t="n">
        <f aca="false">SUM(Monthly!BU55:BU66)</f>
        <v>-6298.02947325994</v>
      </c>
      <c r="F6" s="39" t="n">
        <f aca="false">SUM(Monthly!BU67:BU78)</f>
        <v>-23623.8954867853</v>
      </c>
      <c r="G6" s="39" t="n">
        <f aca="false">SUM(Monthly!BU79:BU90)</f>
        <v>-92438.7621271135</v>
      </c>
      <c r="H6" s="2"/>
    </row>
    <row r="7" customFormat="false" ht="15" hidden="false" customHeight="false" outlineLevel="0" collapsed="false">
      <c r="A7" s="2" t="s">
        <v>423</v>
      </c>
      <c r="B7" s="2"/>
      <c r="C7" s="9" t="n">
        <f aca="false">-'P&amp;L'!C18</f>
        <v>-0</v>
      </c>
      <c r="D7" s="9" t="n">
        <f aca="false">-'P&amp;L'!D18</f>
        <v>-649.019472970636</v>
      </c>
      <c r="E7" s="9" t="n">
        <f aca="false">-'P&amp;L'!E18</f>
        <v>-4442.24834874309</v>
      </c>
      <c r="F7" s="9" t="n">
        <f aca="false">-'P&amp;L'!F18</f>
        <v>-26603.3604438394</v>
      </c>
      <c r="G7" s="9" t="n">
        <f aca="false">-'P&amp;L'!G18</f>
        <v>-69984.0681017552</v>
      </c>
      <c r="H7" s="2"/>
    </row>
    <row r="8" customFormat="false" ht="15" hidden="false" customHeight="false" outlineLevel="0" collapsed="false">
      <c r="A8" s="2" t="s">
        <v>424</v>
      </c>
      <c r="B8" s="2"/>
      <c r="C8" s="39" t="n">
        <f aca="false">SUM(Monthly!BV31:BV42)</f>
        <v>-1132.0065206064</v>
      </c>
      <c r="D8" s="39" t="n">
        <f aca="false">SUM(Monthly!BV43:BV54)</f>
        <v>-3908.23556812128</v>
      </c>
      <c r="E8" s="39" t="n">
        <f aca="false">SUM(Monthly!BV55:BV66)</f>
        <v>-17007.3284181523</v>
      </c>
      <c r="F8" s="39" t="n">
        <f aca="false">SUM(Monthly!BV67:BV78)</f>
        <v>-55948.2947722476</v>
      </c>
      <c r="G8" s="39" t="n">
        <f aca="false">SUM(Monthly!BV79:BV90)</f>
        <v>-197081.283655786</v>
      </c>
      <c r="H8" s="2"/>
    </row>
    <row r="9" customFormat="false" ht="15" hidden="false" customHeight="false" outlineLevel="0" collapsed="false">
      <c r="A9" s="4" t="s">
        <v>425</v>
      </c>
      <c r="B9" s="2"/>
      <c r="C9" s="40" t="n">
        <f aca="false">SUM(C5:C8)</f>
        <v>-527.49704940989</v>
      </c>
      <c r="D9" s="40" t="n">
        <f aca="false">SUM(D5:D8)</f>
        <v>20700.0753084722</v>
      </c>
      <c r="E9" s="40" t="n">
        <f aca="false">SUM(E5:E8)</f>
        <v>68445.0649808904</v>
      </c>
      <c r="F9" s="40" t="n">
        <f aca="false">SUM(F5:F8)</f>
        <v>274144.3738941</v>
      </c>
      <c r="G9" s="40" t="n">
        <f aca="false">SUM(G5:G8)</f>
        <v>1322327.31653344</v>
      </c>
      <c r="H9" s="2"/>
    </row>
    <row r="10" customFormat="false" ht="15" hidden="false" customHeight="false" outlineLevel="0" collapsed="false">
      <c r="A10" s="2" t="s">
        <v>223</v>
      </c>
      <c r="B10" s="2"/>
      <c r="C10" s="39" t="n">
        <f aca="false">SUM(Monthly!BW31:BW42)</f>
        <v>0</v>
      </c>
      <c r="D10" s="39" t="n">
        <f aca="false">SUM(Monthly!BW43:BW54)</f>
        <v>0</v>
      </c>
      <c r="E10" s="39" t="n">
        <f aca="false">SUM(Monthly!BW55:BW66)</f>
        <v>0</v>
      </c>
      <c r="F10" s="39" t="n">
        <f aca="false">SUM(Monthly!BW67:BW78)</f>
        <v>0</v>
      </c>
      <c r="G10" s="39" t="n">
        <f aca="false">SUM(Monthly!BW79:BW90)</f>
        <v>0</v>
      </c>
      <c r="H10" s="2"/>
    </row>
    <row r="11" customFormat="false" ht="15" hidden="false" customHeight="false" outlineLevel="0" collapsed="false">
      <c r="A11" s="2" t="s">
        <v>426</v>
      </c>
      <c r="B11" s="2"/>
      <c r="C11" s="39" t="n">
        <f aca="false">C9+C10</f>
        <v>-527.49704940989</v>
      </c>
      <c r="D11" s="39" t="n">
        <f aca="false">D9+D10</f>
        <v>20700.0753084722</v>
      </c>
      <c r="E11" s="39" t="n">
        <f aca="false">E9+E10</f>
        <v>68445.0649808904</v>
      </c>
      <c r="F11" s="39" t="n">
        <f aca="false">F9+F10</f>
        <v>274144.3738941</v>
      </c>
      <c r="G11" s="39" t="n">
        <f aca="false">G9+G10</f>
        <v>1322327.31653344</v>
      </c>
      <c r="H11" s="2"/>
    </row>
    <row r="12" customFormat="false" ht="15" hidden="false" customHeight="false" outlineLevel="0" collapsed="false">
      <c r="A12" s="2" t="s">
        <v>427</v>
      </c>
      <c r="B12" s="2"/>
      <c r="C12" s="39" t="n">
        <f aca="false">Assumptions!$C$109</f>
        <v>5000</v>
      </c>
      <c r="D12" s="39" t="n">
        <f aca="false">C13</f>
        <v>4472.50295059011</v>
      </c>
      <c r="E12" s="39" t="n">
        <f aca="false">D13</f>
        <v>25172.5782590624</v>
      </c>
      <c r="F12" s="39" t="n">
        <f aca="false">E13</f>
        <v>93617.6432399528</v>
      </c>
      <c r="G12" s="39" t="n">
        <f aca="false">F13</f>
        <v>367762.017134052</v>
      </c>
      <c r="H12" s="2"/>
    </row>
    <row r="13" customFormat="false" ht="15" hidden="false" customHeight="false" outlineLevel="0" collapsed="false">
      <c r="A13" s="4" t="s">
        <v>373</v>
      </c>
      <c r="B13" s="2"/>
      <c r="C13" s="40" t="n">
        <f aca="false">C12+C11</f>
        <v>4472.50295059011</v>
      </c>
      <c r="D13" s="40" t="n">
        <f aca="false">D12+D11</f>
        <v>25172.5782590624</v>
      </c>
      <c r="E13" s="40" t="n">
        <f aca="false">E12+E11</f>
        <v>93617.6432399528</v>
      </c>
      <c r="F13" s="40" t="n">
        <f aca="false">F12+F11</f>
        <v>367762.017134052</v>
      </c>
      <c r="G13" s="40" t="n">
        <f aca="false">G12+G11</f>
        <v>1690089.33366749</v>
      </c>
      <c r="H13" s="2"/>
    </row>
    <row r="14" customFormat="false" ht="15" hidden="false" customHeight="false" outlineLevel="0" collapsed="false">
      <c r="A14" s="2" t="s">
        <v>428</v>
      </c>
      <c r="B14" s="2"/>
      <c r="C14" s="45" t="n">
        <f aca="false">IF(MIN(Monthly!BY31:BY42)&lt;0,1,0)</f>
        <v>0</v>
      </c>
      <c r="D14" s="45" t="n">
        <f aca="false">IF(MIN(Monthly!BY43:BY54)&lt;0,1,0)</f>
        <v>0</v>
      </c>
      <c r="E14" s="45" t="n">
        <f aca="false">IF(MIN(Monthly!BY55:BY66)&lt;0,1,0)</f>
        <v>0</v>
      </c>
      <c r="F14" s="45" t="n">
        <f aca="false">IF(MIN(Monthly!BY67:BY78)&lt;0,1,0)</f>
        <v>0</v>
      </c>
      <c r="G14" s="45" t="n">
        <f aca="false">IF(MIN(Monthly!BY79:BY90)&lt;0,1,0)</f>
        <v>0</v>
      </c>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 t="s">
        <v>429</v>
      </c>
      <c r="B16" s="2"/>
      <c r="C16" s="29" t="n">
        <f aca="false">MIN(Monthly!BY31:BY90)</f>
        <v>898.064485022838</v>
      </c>
      <c r="D16" s="2"/>
      <c r="E16" s="2"/>
      <c r="F16" s="2"/>
      <c r="G16" s="2"/>
      <c r="H16" s="18" t="s">
        <v>430</v>
      </c>
    </row>
    <row r="17" customFormat="false" ht="15" hidden="false" customHeight="false" outlineLevel="0" collapsed="false">
      <c r="A17" s="2" t="s">
        <v>431</v>
      </c>
      <c r="B17" s="2"/>
      <c r="C17" s="29" t="n">
        <f aca="false">-MIN(0,C9,C9+D9,C9+D9+E9,C9+D9+E9+F9,C9+D9+E9+F9+G9)</f>
        <v>527.49704940989</v>
      </c>
      <c r="D17" s="2"/>
      <c r="E17" s="2"/>
      <c r="F17" s="2"/>
      <c r="G17" s="2"/>
      <c r="H17" s="18" t="s">
        <v>432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4"/>
    <col collapsed="false" customWidth="true" hidden="false" outlineLevel="0" max="7" min="3" style="0" width="14"/>
    <col collapsed="false" customWidth="true" hidden="false" outlineLevel="0" max="8" min="8" style="0" width="50"/>
  </cols>
  <sheetData>
    <row r="1" customFormat="false" ht="17.35" hidden="false" customHeight="false" outlineLevel="0" collapsed="false">
      <c r="A1" s="1" t="s">
        <v>433</v>
      </c>
      <c r="B1" s="2"/>
      <c r="C1" s="2"/>
      <c r="D1" s="2"/>
      <c r="E1" s="2"/>
      <c r="F1" s="2"/>
      <c r="G1" s="2"/>
      <c r="H1" s="2"/>
    </row>
    <row r="2" customFormat="false" ht="15" hidden="false" customHeight="false" outlineLevel="0" collapsed="false">
      <c r="A2" s="3" t="s">
        <v>434</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5" t="s">
        <v>58</v>
      </c>
      <c r="B4" s="6"/>
      <c r="C4" s="7" t="s">
        <v>4</v>
      </c>
      <c r="D4" s="7" t="s">
        <v>5</v>
      </c>
      <c r="E4" s="7" t="s">
        <v>6</v>
      </c>
      <c r="F4" s="7" t="s">
        <v>7</v>
      </c>
      <c r="G4" s="7" t="s">
        <v>8</v>
      </c>
      <c r="H4" s="6"/>
    </row>
    <row r="5" customFormat="false" ht="15" hidden="false" customHeight="false" outlineLevel="0" collapsed="false">
      <c r="A5" s="16" t="s">
        <v>435</v>
      </c>
      <c r="B5" s="17"/>
      <c r="C5" s="17"/>
      <c r="D5" s="17"/>
      <c r="E5" s="17"/>
      <c r="F5" s="17"/>
      <c r="G5" s="17"/>
      <c r="H5" s="17"/>
    </row>
    <row r="6" customFormat="false" ht="15" hidden="false" customHeight="false" outlineLevel="0" collapsed="false">
      <c r="A6" s="2" t="s">
        <v>436</v>
      </c>
      <c r="B6" s="2"/>
      <c r="C6" s="35" t="n">
        <f aca="false">Rollout!C5</f>
        <v>28</v>
      </c>
      <c r="D6" s="35" t="n">
        <f aca="false">Rollout!D5</f>
        <v>43</v>
      </c>
      <c r="E6" s="35" t="n">
        <f aca="false">Rollout!E5</f>
        <v>211</v>
      </c>
      <c r="F6" s="35" t="n">
        <f aca="false">Rollout!F5</f>
        <v>864</v>
      </c>
      <c r="G6" s="35" t="n">
        <f aca="false">Rollout!G5</f>
        <v>1707</v>
      </c>
      <c r="H6" s="2"/>
    </row>
    <row r="7" customFormat="false" ht="15" hidden="false" customHeight="false" outlineLevel="0" collapsed="false">
      <c r="A7" s="2" t="s">
        <v>9</v>
      </c>
      <c r="B7" s="2"/>
      <c r="C7" s="35" t="n">
        <f aca="false">Rollout!C7</f>
        <v>28</v>
      </c>
      <c r="D7" s="35" t="n">
        <f aca="false">Rollout!D7</f>
        <v>70.16</v>
      </c>
      <c r="E7" s="35" t="n">
        <f aca="false">Rollout!E7</f>
        <v>279.31</v>
      </c>
      <c r="F7" s="35" t="n">
        <f aca="false">Rollout!F7</f>
        <v>1135.84</v>
      </c>
      <c r="G7" s="35" t="n">
        <f aca="false">Rollout!G7</f>
        <v>2811.99</v>
      </c>
      <c r="H7" s="2"/>
    </row>
    <row r="8" customFormat="false" ht="15" hidden="false" customHeight="false" outlineLevel="0" collapsed="false">
      <c r="A8" s="2" t="s">
        <v>243</v>
      </c>
      <c r="B8" s="2"/>
      <c r="C8" s="35" t="n">
        <f aca="false">Monthly!AE42</f>
        <v>3619.30884</v>
      </c>
      <c r="D8" s="35" t="n">
        <f aca="false">Monthly!AE54</f>
        <v>11240.791408</v>
      </c>
      <c r="E8" s="35" t="n">
        <f aca="false">Monthly!AE66</f>
        <v>46321.8448</v>
      </c>
      <c r="F8" s="35" t="n">
        <f aca="false">Monthly!AE78</f>
        <v>162765.86641</v>
      </c>
      <c r="G8" s="35" t="n">
        <f aca="false">Monthly!AE90</f>
        <v>535855.86117</v>
      </c>
      <c r="H8" s="2"/>
    </row>
    <row r="9" customFormat="false" ht="15" hidden="false" customHeight="false" outlineLevel="0" collapsed="false">
      <c r="A9" s="2" t="s">
        <v>437</v>
      </c>
      <c r="B9" s="2"/>
      <c r="C9" s="35" t="n">
        <f aca="false">SUM(Monthly!AF31:AF42)</f>
        <v>1378580.6328</v>
      </c>
      <c r="D9" s="35" t="n">
        <f aca="false">SUM(Monthly!AF43:AF54)</f>
        <v>4972367.3048</v>
      </c>
      <c r="E9" s="35" t="n">
        <f aca="false">SUM(Monthly!AF55:AF66)</f>
        <v>16999474.5368</v>
      </c>
      <c r="F9" s="35" t="n">
        <f aca="false">SUM(Monthly!AF67:AF78)</f>
        <v>64235165.0808</v>
      </c>
      <c r="G9" s="35" t="n">
        <f aca="false">SUM(Monthly!AF79:AF90)</f>
        <v>223755510.7424</v>
      </c>
      <c r="H9" s="2"/>
    </row>
    <row r="10" customFormat="false" ht="15" hidden="false" customHeight="false" outlineLevel="0" collapsed="false">
      <c r="A10" s="16" t="s">
        <v>438</v>
      </c>
      <c r="B10" s="17"/>
      <c r="C10" s="17"/>
      <c r="D10" s="17"/>
      <c r="E10" s="17"/>
      <c r="F10" s="17"/>
      <c r="G10" s="17"/>
      <c r="H10" s="17"/>
    </row>
    <row r="11" customFormat="false" ht="15" hidden="false" customHeight="false" outlineLevel="0" collapsed="false">
      <c r="A11" s="2" t="s">
        <v>439</v>
      </c>
      <c r="B11" s="2"/>
      <c r="C11" s="35" t="n">
        <f aca="false">SUM(Monthly!AG31:AG42)/12</f>
        <v>69.240228784</v>
      </c>
      <c r="D11" s="35" t="n">
        <f aca="false">SUM(Monthly!AG43:AG54)/12</f>
        <v>342.006593477333</v>
      </c>
      <c r="E11" s="35" t="n">
        <f aca="false">SUM(Monthly!AG55:AG66)/12</f>
        <v>1192.29032937067</v>
      </c>
      <c r="F11" s="35" t="n">
        <f aca="false">SUM(Monthly!AG67:AG78)/12</f>
        <v>4527.591221424</v>
      </c>
      <c r="G11" s="35" t="n">
        <f aca="false">SUM(Monthly!AG79:AG90)/12</f>
        <v>15969.1360737387</v>
      </c>
      <c r="H11" s="2"/>
    </row>
    <row r="12" customFormat="false" ht="15" hidden="false" customHeight="false" outlineLevel="0" collapsed="false">
      <c r="A12" s="2" t="s">
        <v>440</v>
      </c>
      <c r="B12" s="2"/>
      <c r="C12" s="41" t="n">
        <f aca="false">IF(C11=0,0,(Revenue!C5+Revenue!C6+Revenue!C7)/C11/12)</f>
        <v>15.4500360868709</v>
      </c>
      <c r="D12" s="41" t="n">
        <f aca="false">IF(D11=0,0,(Revenue!D5+Revenue!D6+Revenue!D7)/D11/12)</f>
        <v>18.1159573526174</v>
      </c>
      <c r="E12" s="41" t="n">
        <f aca="false">IF(E11=0,0,(Revenue!E5+Revenue!E6+Revenue!E7)/E11/12)</f>
        <v>18.6363645438477</v>
      </c>
      <c r="F12" s="41" t="n">
        <f aca="false">IF(F11=0,0,(Revenue!F5+Revenue!F6+Revenue!F7)/F11/12)</f>
        <v>18.6597959370909</v>
      </c>
      <c r="G12" s="41" t="n">
        <f aca="false">IF(G11=0,0,(Revenue!G5+Revenue!G6+Revenue!G7)/G11/12)</f>
        <v>18.7715362049656</v>
      </c>
      <c r="H12" s="2"/>
    </row>
    <row r="13" customFormat="false" ht="15" hidden="false" customHeight="false" outlineLevel="0" collapsed="false">
      <c r="A13" s="16" t="s">
        <v>441</v>
      </c>
      <c r="B13" s="17"/>
      <c r="C13" s="17"/>
      <c r="D13" s="17"/>
      <c r="E13" s="17"/>
      <c r="F13" s="17"/>
      <c r="G13" s="17"/>
      <c r="H13" s="17"/>
    </row>
    <row r="14" customFormat="false" ht="15" hidden="false" customHeight="false" outlineLevel="0" collapsed="false">
      <c r="A14" s="2" t="s">
        <v>11</v>
      </c>
      <c r="B14" s="2"/>
      <c r="C14" s="39" t="n">
        <f aca="false">'P&amp;L'!C5</f>
        <v>17965.703012412</v>
      </c>
      <c r="D14" s="39" t="n">
        <f aca="false">'P&amp;L'!D5</f>
        <v>106930.957998892</v>
      </c>
      <c r="E14" s="39" t="n">
        <f aca="false">'P&amp;L'!E5</f>
        <v>405561.284676972</v>
      </c>
      <c r="F14" s="39" t="n">
        <f aca="false">'P&amp;L'!F5</f>
        <v>1517945.73904393</v>
      </c>
      <c r="G14" s="39" t="n">
        <f aca="false">'P&amp;L'!G5</f>
        <v>5412192.2023687</v>
      </c>
      <c r="H14" s="2"/>
    </row>
    <row r="15" customFormat="false" ht="15" hidden="false" customHeight="false" outlineLevel="0" collapsed="false">
      <c r="A15" s="2" t="s">
        <v>442</v>
      </c>
      <c r="B15" s="2"/>
      <c r="C15" s="39" t="n">
        <f aca="false">IF(Rollout!C8=0,0,'P&amp;L'!C5/Rollout!C8)</f>
        <v>1122.85643827575</v>
      </c>
      <c r="D15" s="39" t="n">
        <f aca="false">IF(Rollout!D8=0,0,'P&amp;L'!D5/Rollout!D8)</f>
        <v>2649.86679329817</v>
      </c>
      <c r="E15" s="39" t="n">
        <f aca="false">IF(Rollout!E8=0,0,'P&amp;L'!E5/Rollout!E8)</f>
        <v>2500.30075939072</v>
      </c>
      <c r="F15" s="39" t="n">
        <f aca="false">IF(Rollout!F8=0,0,'P&amp;L'!F5/Rollout!F8)</f>
        <v>2629.11103664623</v>
      </c>
      <c r="G15" s="39" t="n">
        <f aca="false">IF(Rollout!G8=0,0,'P&amp;L'!G5/Rollout!G8)</f>
        <v>3113.60020386609</v>
      </c>
      <c r="H15" s="2"/>
    </row>
    <row r="16" customFormat="false" ht="15" hidden="false" customHeight="false" outlineLevel="0" collapsed="false">
      <c r="A16" s="2" t="s">
        <v>12</v>
      </c>
      <c r="B16" s="2"/>
      <c r="C16" s="36" t="n">
        <f aca="false">'P&amp;L'!C8</f>
        <v>0.331956034635801</v>
      </c>
      <c r="D16" s="36" t="n">
        <f aca="false">'P&amp;L'!D8</f>
        <v>0.703091823028468</v>
      </c>
      <c r="E16" s="36" t="n">
        <f aca="false">'P&amp;L'!E8</f>
        <v>0.689335330212958</v>
      </c>
      <c r="F16" s="36" t="n">
        <f aca="false">'P&amp;L'!F8</f>
        <v>0.701410478859548</v>
      </c>
      <c r="G16" s="36" t="n">
        <f aca="false">'P&amp;L'!G8</f>
        <v>0.745884562620994</v>
      </c>
      <c r="H16" s="2"/>
    </row>
    <row r="17" customFormat="false" ht="15" hidden="false" customHeight="false" outlineLevel="0" collapsed="false">
      <c r="A17" s="2" t="s">
        <v>13</v>
      </c>
      <c r="B17" s="2"/>
      <c r="C17" s="39" t="n">
        <f aca="false">'P&amp;L'!C16</f>
        <v>604.50947119651</v>
      </c>
      <c r="D17" s="39" t="n">
        <f aca="false">'P&amp;L'!D16</f>
        <v>25408.4577173633</v>
      </c>
      <c r="E17" s="39" t="n">
        <f aca="false">'P&amp;L'!E16</f>
        <v>96192.6712210458</v>
      </c>
      <c r="F17" s="39" t="n">
        <f aca="false">'P&amp;L'!F16</f>
        <v>380319.924596972</v>
      </c>
      <c r="G17" s="39" t="n">
        <f aca="false">'P&amp;L'!G16</f>
        <v>1681831.4304181</v>
      </c>
      <c r="H17" s="2"/>
    </row>
    <row r="18" customFormat="false" ht="15" hidden="false" customHeight="false" outlineLevel="0" collapsed="false">
      <c r="A18" s="2" t="s">
        <v>14</v>
      </c>
      <c r="B18" s="2"/>
      <c r="C18" s="36" t="n">
        <f aca="false">'P&amp;L'!C17</f>
        <v>0.0336479719596206</v>
      </c>
      <c r="D18" s="36" t="n">
        <f aca="false">'P&amp;L'!D17</f>
        <v>0.237615543644775</v>
      </c>
      <c r="E18" s="36" t="n">
        <f aca="false">'P&amp;L'!E17</f>
        <v>0.237184057885759</v>
      </c>
      <c r="F18" s="36" t="n">
        <f aca="false">'P&amp;L'!F17</f>
        <v>0.250549090665463</v>
      </c>
      <c r="G18" s="36" t="n">
        <f aca="false">'P&amp;L'!G17</f>
        <v>0.310748651846109</v>
      </c>
      <c r="H18" s="2"/>
    </row>
    <row r="19" customFormat="false" ht="15" hidden="false" customHeight="false" outlineLevel="0" collapsed="false">
      <c r="A19" s="2" t="s">
        <v>16</v>
      </c>
      <c r="B19" s="2"/>
      <c r="C19" s="39" t="n">
        <f aca="false">'Cash Flow'!C13</f>
        <v>4472.50295059011</v>
      </c>
      <c r="D19" s="39" t="n">
        <f aca="false">'Cash Flow'!D13</f>
        <v>25172.5782590624</v>
      </c>
      <c r="E19" s="39" t="n">
        <f aca="false">'Cash Flow'!E13</f>
        <v>93617.6432399528</v>
      </c>
      <c r="F19" s="39" t="n">
        <f aca="false">'Cash Flow'!F13</f>
        <v>367762.017134052</v>
      </c>
      <c r="G19" s="39" t="n">
        <f aca="false">'Cash Flow'!G13</f>
        <v>1690089.33366749</v>
      </c>
      <c r="H19" s="2"/>
    </row>
    <row r="20" customFormat="false" ht="15" hidden="false" customHeight="false" outlineLevel="0" collapsed="false">
      <c r="A20" s="2" t="s">
        <v>443</v>
      </c>
      <c r="B20" s="2"/>
      <c r="C20" s="39" t="n">
        <f aca="false">MIN(Monthly!BY31:BY42)</f>
        <v>898.064485022838</v>
      </c>
      <c r="D20" s="39" t="n">
        <f aca="false">MIN(Monthly!BY43:BY54)</f>
        <v>5806.96338419386</v>
      </c>
      <c r="E20" s="39" t="n">
        <f aca="false">MIN(Monthly!BY55:BY66)</f>
        <v>25808.7454188571</v>
      </c>
      <c r="F20" s="39" t="n">
        <f aca="false">MIN(Monthly!BY67:BY78)</f>
        <v>89820.3807734242</v>
      </c>
      <c r="G20" s="39" t="n">
        <f aca="false">MIN(Monthly!BY79:BY90)</f>
        <v>331120.615723353</v>
      </c>
      <c r="H20" s="2"/>
    </row>
    <row r="21" customFormat="false" ht="15" hidden="false" customHeight="false" outlineLevel="0" collapsed="false">
      <c r="A21" s="2" t="s">
        <v>444</v>
      </c>
      <c r="B21" s="2"/>
      <c r="C21" s="38" t="n">
        <f aca="false">Headcount!C14</f>
        <v>0</v>
      </c>
      <c r="D21" s="38" t="n">
        <f aca="false">Headcount!D14</f>
        <v>0.259607789188255</v>
      </c>
      <c r="E21" s="38" t="n">
        <f aca="false">Headcount!E14</f>
        <v>2.03650712868549</v>
      </c>
      <c r="F21" s="38" t="n">
        <f aca="false">Headcount!F14</f>
        <v>11.0652139507756</v>
      </c>
      <c r="G21" s="38" t="n">
        <f aca="false">Headcount!G14</f>
        <v>36.0582716436513</v>
      </c>
      <c r="H21" s="18" t="s">
        <v>445</v>
      </c>
    </row>
    <row r="22" customFormat="false" ht="15" hidden="false" customHeight="false" outlineLevel="0" collapsed="false">
      <c r="A22" s="2" t="s">
        <v>446</v>
      </c>
      <c r="B22" s="2"/>
      <c r="C22" s="36" t="n">
        <f aca="false">IF('P&amp;L'!C5=0,0,Costs!C6/'P&amp;L'!C5)</f>
        <v>0.340016752797244</v>
      </c>
      <c r="D22" s="36" t="n">
        <f aca="false">IF('P&amp;L'!D5=0,0,Costs!D6/'P&amp;L'!D5)</f>
        <v>0.144078940483195</v>
      </c>
      <c r="E22" s="36" t="n">
        <f aca="false">IF('P&amp;L'!E5=0,0,Costs!E6/'P&amp;L'!E5)</f>
        <v>0.152697629901546</v>
      </c>
      <c r="F22" s="36" t="n">
        <f aca="false">IF('P&amp;L'!F5=0,0,Costs!F6/'P&amp;L'!F5)</f>
        <v>0.14521638480778</v>
      </c>
      <c r="G22" s="36" t="n">
        <f aca="false">IF('P&amp;L'!G5=0,0,Costs!G6/'P&amp;L'!G5)</f>
        <v>0.122620110162486</v>
      </c>
      <c r="H22" s="18" t="s">
        <v>447</v>
      </c>
    </row>
    <row r="23" customFormat="false" ht="15" hidden="false" customHeight="false" outlineLevel="0" collapsed="false">
      <c r="A23" s="2" t="s">
        <v>448</v>
      </c>
      <c r="B23" s="2"/>
      <c r="C23" s="39" t="n">
        <f aca="false">Costs!C22+Costs!C23+Costs!C24+Costs!C21+Assumptions!C$98+Costs!C26</f>
        <v>3059.31406024824</v>
      </c>
      <c r="D23" s="39" t="n">
        <f aca="false">Costs!D22+Costs!D23+Costs!D24+Costs!D21+Assumptions!D$98+Costs!D26</f>
        <v>44663.4911469249</v>
      </c>
      <c r="E23" s="39" t="n">
        <f aca="false">Costs!E22+Costs!E23+Costs!E24+Costs!E21+Assumptions!E$98+Costs!E26</f>
        <v>113718.139401632</v>
      </c>
      <c r="F23" s="39" t="n">
        <f aca="false">Costs!F22+Costs!F23+Costs!F24+Costs!F21+Assumptions!F$98+Costs!F26</f>
        <v>205565.974114105</v>
      </c>
      <c r="G23" s="39" t="n">
        <f aca="false">Costs!G22+Costs!G23+Costs!G24+Costs!G21+Assumptions!G$98+Costs!G26</f>
        <v>471771.833474375</v>
      </c>
      <c r="H23" s="18" t="s">
        <v>449</v>
      </c>
    </row>
    <row r="24" customFormat="false" ht="15" hidden="false" customHeight="false" outlineLevel="0" collapsed="false">
      <c r="A24" s="2" t="s">
        <v>450</v>
      </c>
      <c r="B24" s="2"/>
      <c r="C24" s="39" t="n">
        <f aca="false">Rollout!C7/'Unit Economics'!$G$7*'Unit Economics'!$G$42-C23</f>
        <v>484682.208445565</v>
      </c>
      <c r="D24" s="39" t="n">
        <f aca="false">Rollout!D7/'Unit Economics'!$G$7*'Unit Economics'!$G$42-D23</f>
        <v>1177477.40953193</v>
      </c>
      <c r="E24" s="39" t="n">
        <f aca="false">Rollout!E7/'Unit Economics'!$G$7*'Unit Economics'!$G$42-E23</f>
        <v>4751677.74099475</v>
      </c>
      <c r="F24" s="39" t="n">
        <f aca="false">Rollout!F7/'Unit Economics'!$G$7*'Unit Economics'!$G$42-F23</f>
        <v>19580017.273136</v>
      </c>
      <c r="G24" s="39" t="n">
        <f aca="false">Rollout!G7/'Unit Economics'!$G$7*'Unit Economics'!$G$42-G23</f>
        <v>48511238.30478</v>
      </c>
      <c r="H24" s="18" t="s">
        <v>451</v>
      </c>
    </row>
    <row r="25" customFormat="false" ht="15" hidden="false" customHeight="false" outlineLevel="0" collapsed="false">
      <c r="A25" s="2" t="s">
        <v>452</v>
      </c>
      <c r="B25" s="2"/>
      <c r="C25" s="35" t="n">
        <f aca="false">IF('Unit Economics'!$G$42&lt;=0,0,C23/('Unit Economics'!$G$42/'Unit Economics'!$G$7))</f>
        <v>0.175627437350138</v>
      </c>
      <c r="D25" s="35" t="n">
        <f aca="false">IF('Unit Economics'!$G$42&lt;=0,0,D23/('Unit Economics'!$G$42/'Unit Economics'!$G$7))</f>
        <v>2.56401740349878</v>
      </c>
      <c r="E25" s="35" t="n">
        <f aca="false">IF('Unit Economics'!$G$42&lt;=0,0,E23/('Unit Economics'!$G$42/'Unit Economics'!$G$7))</f>
        <v>6.52826908582046</v>
      </c>
      <c r="F25" s="35" t="n">
        <f aca="false">IF('Unit Economics'!$G$42&lt;=0,0,F23/('Unit Economics'!$G$42/'Unit Economics'!$G$7))</f>
        <v>11.8010196171607</v>
      </c>
      <c r="G25" s="35" t="n">
        <f aca="false">IF('Unit Economics'!$G$42&lt;=0,0,G23/('Unit Economics'!$G$42/'Unit Economics'!$G$7))</f>
        <v>27.0832207793526</v>
      </c>
      <c r="H25" s="2"/>
    </row>
    <row r="26" customFormat="false" ht="15" hidden="false" customHeight="false" outlineLevel="0" collapsed="false">
      <c r="A26" s="2"/>
      <c r="B26" s="2"/>
      <c r="C26" s="2"/>
      <c r="D26" s="2"/>
      <c r="E26" s="2"/>
      <c r="F26" s="2"/>
      <c r="G26" s="2"/>
      <c r="H26" s="2"/>
    </row>
    <row r="27" customFormat="false" ht="15" hidden="false" customHeight="false" outlineLevel="0" collapsed="false">
      <c r="A27" s="16" t="s">
        <v>453</v>
      </c>
      <c r="B27" s="17"/>
      <c r="C27" s="17"/>
      <c r="D27" s="17"/>
      <c r="E27" s="17"/>
      <c r="F27" s="17"/>
      <c r="G27" s="17"/>
      <c r="H27" s="17"/>
    </row>
    <row r="28" customFormat="false" ht="15" hidden="false" customHeight="false" outlineLevel="0" collapsed="false">
      <c r="A28" s="2" t="s">
        <v>454</v>
      </c>
      <c r="B28" s="2"/>
      <c r="C28" s="9" t="n">
        <f aca="false">'Unit Economics'!G25</f>
        <v>17934.8284368</v>
      </c>
      <c r="D28" s="2"/>
      <c r="E28" s="2"/>
      <c r="F28" s="2"/>
      <c r="G28" s="2"/>
      <c r="H28" s="2"/>
    </row>
    <row r="29" customFormat="false" ht="15" hidden="false" customHeight="false" outlineLevel="0" collapsed="false">
      <c r="A29" s="2" t="s">
        <v>455</v>
      </c>
      <c r="B29" s="2"/>
      <c r="C29" s="9" t="n">
        <f aca="false">'Unit Economics'!G42</f>
        <v>16199.9862832288</v>
      </c>
      <c r="D29" s="2"/>
      <c r="E29" s="2"/>
      <c r="F29" s="2"/>
      <c r="G29" s="2"/>
      <c r="H29" s="2"/>
    </row>
    <row r="30" customFormat="false" ht="15" hidden="false" customHeight="false" outlineLevel="0" collapsed="false">
      <c r="A30" s="2" t="s">
        <v>456</v>
      </c>
      <c r="B30" s="2"/>
      <c r="C30" s="10" t="n">
        <f aca="false">'Unit Economics'!G43</f>
        <v>0.903269654366388</v>
      </c>
      <c r="D30" s="2"/>
      <c r="E30" s="2"/>
      <c r="F30" s="2"/>
      <c r="G30" s="2"/>
      <c r="H30" s="2"/>
    </row>
    <row r="31" customFormat="false" ht="15" hidden="false" customHeight="false" outlineLevel="0" collapsed="false">
      <c r="A31" s="2" t="s">
        <v>457</v>
      </c>
      <c r="B31" s="2"/>
      <c r="C31" s="9" t="n">
        <f aca="false">'Unit Economics'!C44</f>
        <v>40</v>
      </c>
      <c r="D31" s="2"/>
      <c r="E31" s="2"/>
      <c r="F31" s="2"/>
      <c r="G31" s="2"/>
      <c r="H31" s="2"/>
    </row>
    <row r="32" customFormat="false" ht="15" hidden="false" customHeight="false" outlineLevel="0" collapsed="false">
      <c r="A32" s="2" t="s">
        <v>458</v>
      </c>
      <c r="B32" s="2"/>
      <c r="C32" s="45" t="n">
        <f aca="false">IFERROR(MATCH(TRUE(),INDEX('Unit Economics'!C45:G45&gt;0,0),0),"After Age 5")</f>
        <v>2</v>
      </c>
      <c r="D32" s="2"/>
      <c r="E32" s="2"/>
      <c r="F32" s="2"/>
      <c r="G32" s="2"/>
      <c r="H32" s="18" t="s">
        <v>459</v>
      </c>
    </row>
    <row r="33" customFormat="false" ht="15" hidden="false" customHeight="false" outlineLevel="0" collapsed="false">
      <c r="A33" s="2" t="s">
        <v>460</v>
      </c>
      <c r="B33" s="2"/>
      <c r="C33" s="2" t="str">
        <f aca="false">IFERROR(INDEX(C4:G4,MATCH(TRUE(),INDEX(C17:G17&gt;0,0),0)),"Not by FY2031")</f>
        <v>2027</v>
      </c>
      <c r="D33" s="2"/>
      <c r="E33" s="2"/>
      <c r="F33" s="2"/>
      <c r="G33" s="2"/>
      <c r="H33" s="2"/>
    </row>
    <row r="34" customFormat="false" ht="15" hidden="false" customHeight="false" outlineLevel="0" collapsed="false">
      <c r="A34" s="2" t="s">
        <v>461</v>
      </c>
      <c r="B34" s="2"/>
      <c r="C34" s="9" t="n">
        <f aca="false">'Cash Flow'!C17</f>
        <v>527.49704940989</v>
      </c>
      <c r="D34" s="2"/>
      <c r="E34" s="2"/>
      <c r="F34" s="2"/>
      <c r="G34" s="2"/>
      <c r="H3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2026-10-17T04:22:33Z</dcterms:created>
  <dc:creator>openpyxl</dc:creator>
  <dc:description/>
  <dc:language>en-US</dc:language>
  <cp:lastModifiedBy/>
  <dcterms:modified xsi:type="dcterms:W3CDTF">2026-10-17T04:22:33Z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